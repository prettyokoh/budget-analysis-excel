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330"/>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0_ncr:8100000_{0057B8EF-F341-4899-A41F-2CB9E76B068A}" xr6:coauthVersionLast="33" xr6:coauthVersionMax="33" xr10:uidLastSave="{00000000-0000-0000-0000-000000000000}"/>
  <bookViews>
    <workbookView xWindow="0" yWindow="0" windowWidth="20520" windowHeight="11633" activeTab="1" xr2:uid="{00000000-000D-0000-FFFF-FFFF00000000}"/>
  </bookViews>
  <sheets>
    <sheet name="Sheet1" sheetId="1" r:id="rId1"/>
    <sheet name="CLEANED" sheetId="2" r:id="rId2"/>
    <sheet name="ANALYSIS1" sheetId="5" r:id="rId3"/>
    <sheet name="ANALYSIS2" sheetId="7" r:id="rId4"/>
    <sheet name="ANALYSIS3" sheetId="8" r:id="rId5"/>
    <sheet name="DASHBOARD" sheetId="9" r:id="rId6"/>
    <sheet name="REPORT" sheetId="10" r:id="rId7"/>
  </sheets>
  <definedNames>
    <definedName name="Slicer_Category">#N/A</definedName>
    <definedName name="Slicer_Department">#N/A</definedName>
    <definedName name="Slicer_Month">#N/A</definedName>
  </definedNames>
  <calcPr calcId="162913"/>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6" i="5" l="1"/>
  <c r="M25" i="5"/>
  <c r="M24" i="5"/>
  <c r="K2" i="2" l="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alcChain>
</file>

<file path=xl/sharedStrings.xml><?xml version="1.0" encoding="utf-8"?>
<sst xmlns="http://schemas.openxmlformats.org/spreadsheetml/2006/main" count="635" uniqueCount="153">
  <si>
    <t>Month</t>
  </si>
  <si>
    <t>Department</t>
  </si>
  <si>
    <t>Category</t>
  </si>
  <si>
    <t>Budget_Annual</t>
  </si>
  <si>
    <t>Budget_Monthly</t>
  </si>
  <si>
    <t>Actual_Spend</t>
  </si>
  <si>
    <t>Variance_Amount</t>
  </si>
  <si>
    <t>Variance_Percent</t>
  </si>
  <si>
    <t>Headcount</t>
  </si>
  <si>
    <t>Spend_Per_Employee</t>
  </si>
  <si>
    <t>Notes</t>
  </si>
  <si>
    <t>Engineering</t>
  </si>
  <si>
    <t>Personnel</t>
  </si>
  <si>
    <t>New senior hires started in Jan, slight overage expected</t>
  </si>
  <si>
    <t>Technology</t>
  </si>
  <si>
    <t>AWS costs lower than expected due to optimization</t>
  </si>
  <si>
    <t>Professional Services</t>
  </si>
  <si>
    <t>Additional security audit and consulting</t>
  </si>
  <si>
    <t>Travel</t>
  </si>
  <si>
    <t>Reduced conference travel in Q1</t>
  </si>
  <si>
    <t>Operations</t>
  </si>
  <si>
    <t>Office supplies and equipment</t>
  </si>
  <si>
    <t>Sales</t>
  </si>
  <si>
    <t>Quota attainment bonuses lower than projected</t>
  </si>
  <si>
    <t>New sales tools and CRM upgrades</t>
  </si>
  <si>
    <t>Increased customer visits and conferences</t>
  </si>
  <si>
    <t>Marketing</t>
  </si>
  <si>
    <t>Sales collateral and trade show materials</t>
  </si>
  <si>
    <t>Office and general expenses</t>
  </si>
  <si>
    <t>New content marketing hire</t>
  </si>
  <si>
    <t>Marketing automation and analytics tools</t>
  </si>
  <si>
    <t>Advertising</t>
  </si>
  <si>
    <t>Paid advertising campaigns</t>
  </si>
  <si>
    <t>Agency support for campaigns</t>
  </si>
  <si>
    <t>Conference and event travel</t>
  </si>
  <si>
    <t>Product</t>
  </si>
  <si>
    <t>Product manager and designer hires</t>
  </si>
  <si>
    <t>Product analytics and design tools</t>
  </si>
  <si>
    <t>User research and consulting</t>
  </si>
  <si>
    <t>Customer research travel</t>
  </si>
  <si>
    <t>Customer Success</t>
  </si>
  <si>
    <t>CSM team fully staffed</t>
  </si>
  <si>
    <t>Customer success platforms</t>
  </si>
  <si>
    <t>Customer onsite visits</t>
  </si>
  <si>
    <t>Training materials and resources</t>
  </si>
  <si>
    <t>Finance</t>
  </si>
  <si>
    <t>Full finance team in place</t>
  </si>
  <si>
    <t>Financial systems and tools</t>
  </si>
  <si>
    <t>Audit and tax preparation</t>
  </si>
  <si>
    <t>Office and administrative costs</t>
  </si>
  <si>
    <t>HR</t>
  </si>
  <si>
    <t>HR team and benefits admin</t>
  </si>
  <si>
    <t>HRIS and recruiting tools</t>
  </si>
  <si>
    <t>Executive search and consulting</t>
  </si>
  <si>
    <t>Employee events and programs</t>
  </si>
  <si>
    <t>IT and facilities team</t>
  </si>
  <si>
    <t>IT infrastructure and security</t>
  </si>
  <si>
    <t>Legal and compliance</t>
  </si>
  <si>
    <t>Minimal travel requirements</t>
  </si>
  <si>
    <t>Facilities</t>
  </si>
  <si>
    <t>Office rent and utilities</t>
  </si>
  <si>
    <t>Additional backend engineers hired</t>
  </si>
  <si>
    <t>Increased cloud usage with growth</t>
  </si>
  <si>
    <t>Lower consulting needs this month</t>
  </si>
  <si>
    <t>Continued low travel</t>
  </si>
  <si>
    <t>Standard operational costs</t>
  </si>
  <si>
    <t>Strong quota attainment bonuses</t>
  </si>
  <si>
    <t>Ongoing tool subscriptions</t>
  </si>
  <si>
    <t>Heavy conference season</t>
  </si>
  <si>
    <t>Reduced trade show expenses</t>
  </si>
  <si>
    <t>Standard operations</t>
  </si>
  <si>
    <t>Growth marketing specialist added</t>
  </si>
  <si>
    <t>New attribution tools</t>
  </si>
  <si>
    <t>Increased paid spend for growth</t>
  </si>
  <si>
    <t>Lower agency costs</t>
  </si>
  <si>
    <t>Remote events focus</t>
  </si>
  <si>
    <t>Senior product manager hire</t>
  </si>
  <si>
    <t>Additional design tools</t>
  </si>
  <si>
    <t>User research projects</t>
  </si>
  <si>
    <t>Customer development travel</t>
  </si>
  <si>
    <t>Customer success manager added</t>
  </si>
  <si>
    <t>Platform upgrades</t>
  </si>
  <si>
    <t>Increased customer visits</t>
  </si>
  <si>
    <t>Training and materials</t>
  </si>
  <si>
    <t>Stable team</t>
  </si>
  <si>
    <t>Standard tech costs</t>
  </si>
  <si>
    <t>Lower consulting needs</t>
  </si>
  <si>
    <t>Recruiter added to team</t>
  </si>
  <si>
    <t>HRIS and ATS costs</t>
  </si>
  <si>
    <t>Lower recruiting fees</t>
  </si>
  <si>
    <t>Employee programs</t>
  </si>
  <si>
    <t>Stable operations team</t>
  </si>
  <si>
    <t>Security tool upgrades</t>
  </si>
  <si>
    <t>Legal costs</t>
  </si>
  <si>
    <t>Minimal travel</t>
  </si>
  <si>
    <t>Office costs</t>
  </si>
  <si>
    <t>Significant hiring push</t>
  </si>
  <si>
    <t>Infrastructure scaling</t>
  </si>
  <si>
    <t>Security and compliance work</t>
  </si>
  <si>
    <t>Conference attendance picking up</t>
  </si>
  <si>
    <t>Equipment purchases</t>
  </si>
  <si>
    <t>Strong Q1 performance bonuses</t>
  </si>
  <si>
    <t>Sales stack improvements</t>
  </si>
  <si>
    <t>Major conference and customer events</t>
  </si>
  <si>
    <t>Trade show and materials</t>
  </si>
  <si>
    <t>Operations support</t>
  </si>
  <si>
    <t>Marketing operations hire</t>
  </si>
  <si>
    <t>Marketing stack expansion</t>
  </si>
  <si>
    <t>Aggressive growth campaigns</t>
  </si>
  <si>
    <t>Agency partnerships</t>
  </si>
  <si>
    <t>Conference and event season</t>
  </si>
  <si>
    <t>Product design team expansion</t>
  </si>
  <si>
    <t>Design and analytics tools</t>
  </si>
  <si>
    <t>Extensive user research</t>
  </si>
  <si>
    <t>Customer development trips</t>
  </si>
  <si>
    <t>Team growth continues</t>
  </si>
  <si>
    <t>Platform investments</t>
  </si>
  <si>
    <t>Heavy customer engagement</t>
  </si>
  <si>
    <t>Training and enablement</t>
  </si>
  <si>
    <t>Accounting specialist added</t>
  </si>
  <si>
    <t>Standard costs</t>
  </si>
  <si>
    <t>Year-end audit preparation</t>
  </si>
  <si>
    <t>Additional recruiter</t>
  </si>
  <si>
    <t>Recruiting tool upgrades</t>
  </si>
  <si>
    <t>Executive search projects</t>
  </si>
  <si>
    <t>Employee engagement programs</t>
  </si>
  <si>
    <t>IT support hire</t>
  </si>
  <si>
    <t>Infrastructure upgrades</t>
  </si>
  <si>
    <t>Vendor meetings</t>
  </si>
  <si>
    <t>Facility improvements</t>
  </si>
  <si>
    <t>Grand Total</t>
  </si>
  <si>
    <t>Sum of Budget_Monthly</t>
  </si>
  <si>
    <t>Sum of Actual_Spend</t>
  </si>
  <si>
    <t>Sum of Difference</t>
  </si>
  <si>
    <t>Difference</t>
  </si>
  <si>
    <t>Budget vs Actual Spend</t>
  </si>
  <si>
    <t>Departments</t>
  </si>
  <si>
    <t>Sum of Variance_Amount</t>
  </si>
  <si>
    <t>Average of Variance_Percent</t>
  </si>
  <si>
    <t>Variance Analysis</t>
  </si>
  <si>
    <t>Jan</t>
  </si>
  <si>
    <t>Feb</t>
  </si>
  <si>
    <t>Mar</t>
  </si>
  <si>
    <t>Months</t>
  </si>
  <si>
    <t>Trend Analysis</t>
  </si>
  <si>
    <t>Headcount vs Spend Analysis</t>
  </si>
  <si>
    <t>Average of Spend_Per_Employee</t>
  </si>
  <si>
    <t>Sum of Headcount</t>
  </si>
  <si>
    <t>TOTAL BUDGET</t>
  </si>
  <si>
    <t>TOTAL SPEND</t>
  </si>
  <si>
    <t>OVERALL VARIANCE%</t>
  </si>
  <si>
    <t>A</t>
  </si>
  <si>
    <t>KEY METRICS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</si>
</sst>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469]\ #,##0"/>
    <numFmt numFmtId="166" formatCode="0.0%"/>
  </numFmts>
  <fonts count="7" x14ac:knownFonts="1">
    <font>
      <sz val="10"/>
      <color rgb="FF000000"/>
      <name val="Arial"/>
      <scheme val="minor"/>
    </font>
    <font>
      <sz val="10"/>
      <color theme="1"/>
      <name val="Arial"/>
      <scheme val="minor"/>
    </font>
    <font>
      <sz val="10"/>
      <color theme="1"/>
      <name val="Arial"/>
      <family val="2"/>
      <scheme val="minor"/>
    </font>
    <font>
      <sz val="10"/>
      <color rgb="FF000000"/>
      <name val="Arial"/>
      <family val="2"/>
      <scheme val="minor"/>
    </font>
    <font>
      <b/>
      <sz val="12"/>
      <color theme="9"/>
      <name val="Arial"/>
      <family val="2"/>
      <scheme val="minor"/>
    </font>
    <font>
      <sz val="11"/>
      <color rgb="FF000000"/>
      <name val="Arial"/>
      <family val="2"/>
      <scheme val="minor"/>
    </font>
    <font>
      <b/>
      <sz val="10"/>
      <color theme="9"/>
      <name val="Arial"/>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3">
    <xf numFmtId="0" fontId="0" fillId="0" borderId="0" xfId="0" applyFont="1" applyAlignment="1"/>
    <xf numFmtId="0" fontId="1" fillId="0" borderId="0" xfId="0" applyFont="1" applyAlignment="1"/>
    <xf numFmtId="164" fontId="1" fillId="0" borderId="0" xfId="0" applyNumberFormat="1" applyFont="1" applyAlignment="1"/>
    <xf numFmtId="165" fontId="1" fillId="0" borderId="0" xfId="0" applyNumberFormat="1" applyFont="1" applyAlignment="1"/>
    <xf numFmtId="165" fontId="0" fillId="0" borderId="0" xfId="0" applyNumberFormat="1" applyFont="1" applyAlignment="1"/>
    <xf numFmtId="166" fontId="1" fillId="0" borderId="0" xfId="0" applyNumberFormat="1" applyFont="1" applyAlignment="1"/>
    <xf numFmtId="166" fontId="0" fillId="0" borderId="0" xfId="0" applyNumberFormat="1" applyFont="1" applyAlignment="1"/>
    <xf numFmtId="2" fontId="1" fillId="0" borderId="0" xfId="0" applyNumberFormat="1" applyFont="1" applyAlignment="1"/>
    <xf numFmtId="2" fontId="0" fillId="0" borderId="0" xfId="0" applyNumberFormat="1" applyFont="1" applyAlignment="1"/>
    <xf numFmtId="1" fontId="1" fillId="0" borderId="0" xfId="0" applyNumberFormat="1" applyFont="1" applyAlignment="1"/>
    <xf numFmtId="1" fontId="0" fillId="0" borderId="0" xfId="0" applyNumberFormat="1" applyFont="1" applyAlignment="1"/>
    <xf numFmtId="0" fontId="0" fillId="0" borderId="0" xfId="0" pivotButton="1" applyFont="1" applyAlignment="1"/>
    <xf numFmtId="0" fontId="0" fillId="0" borderId="0" xfId="0" applyFont="1" applyAlignment="1">
      <alignment horizontal="left"/>
    </xf>
    <xf numFmtId="0" fontId="3" fillId="0" borderId="0" xfId="0" applyFont="1" applyAlignment="1"/>
    <xf numFmtId="165" fontId="2" fillId="0" borderId="0" xfId="0" applyNumberFormat="1" applyFont="1" applyAlignment="1"/>
    <xf numFmtId="0" fontId="0" fillId="2" borderId="0" xfId="0" applyFont="1" applyFill="1" applyAlignment="1"/>
    <xf numFmtId="0" fontId="0" fillId="0" borderId="0" xfId="0" applyNumberFormat="1" applyFont="1" applyAlignment="1"/>
    <xf numFmtId="9" fontId="0" fillId="0" borderId="0" xfId="0" applyNumberFormat="1" applyFont="1" applyAlignment="1"/>
    <xf numFmtId="164" fontId="0" fillId="0" borderId="0" xfId="0" applyNumberFormat="1" applyFont="1" applyAlignment="1">
      <alignment horizontal="left"/>
    </xf>
    <xf numFmtId="0" fontId="4" fillId="0" borderId="0" xfId="0" applyFont="1" applyAlignment="1"/>
    <xf numFmtId="10" fontId="0" fillId="0" borderId="0" xfId="0" applyNumberFormat="1" applyFont="1" applyAlignment="1"/>
    <xf numFmtId="165" fontId="5" fillId="0" borderId="0" xfId="0" applyNumberFormat="1" applyFont="1" applyAlignment="1"/>
    <xf numFmtId="0" fontId="6" fillId="0" borderId="0" xfId="0" applyFont="1" applyAlignment="1"/>
  </cellXfs>
  <cellStyles count="1">
    <cellStyle name="Normal" xfId="0" builtinId="0"/>
  </cellStyles>
  <dxfs count="14">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0"/>
        <color theme="1"/>
        <name val="Arial"/>
        <scheme val="minor"/>
      </font>
      <numFmt numFmtId="165" formatCode="[$₦-469]\ #,##0"/>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2" formatCode="0.00"/>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166" formatCode="0.0%"/>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165" formatCode="[$₦-469]\ #,##0"/>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165" formatCode="[$₦-469]\ #,##0"/>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165" formatCode="[$₦-469]\ #,##0"/>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165" formatCode="[$₦-469]\ #,##0"/>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 Analysis.xlsx]ANALYSIS1!PivotTable2</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a:latin typeface="Calibri" panose="020F0502020204030204" pitchFamily="34" charset="0"/>
                <a:ea typeface="Calibri" panose="020F0502020204030204" pitchFamily="34" charset="0"/>
                <a:cs typeface="Calibri" panose="020F0502020204030204" pitchFamily="34" charset="0"/>
              </a:rPr>
              <a:t>Monthly</a:t>
            </a:r>
            <a:r>
              <a:rPr lang="en-US" baseline="0">
                <a:latin typeface="Calibri" panose="020F0502020204030204" pitchFamily="34" charset="0"/>
                <a:ea typeface="Calibri" panose="020F0502020204030204" pitchFamily="34" charset="0"/>
                <a:cs typeface="Calibri" panose="020F0502020204030204" pitchFamily="34" charset="0"/>
              </a:rPr>
              <a:t> Spending Trend</a:t>
            </a:r>
            <a:endParaRPr lang="en-US">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
        <c:spPr>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pivotFmt>
      <c:pivotFmt>
        <c:idx val="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pivotFmt>
      <c:pivotFmt>
        <c:idx val="7"/>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pivotFmt>
    </c:pivotFmts>
    <c:plotArea>
      <c:layout/>
      <c:lineChart>
        <c:grouping val="stacked"/>
        <c:varyColors val="0"/>
        <c:ser>
          <c:idx val="0"/>
          <c:order val="0"/>
          <c:tx>
            <c:strRef>
              <c:f>ANALYSIS1!$C$29:$C$30</c:f>
              <c:strCache>
                <c:ptCount val="1"/>
                <c:pt idx="0">
                  <c:v>Customer Success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ANALYSIS1!$B$31:$B$34</c:f>
              <c:strCache>
                <c:ptCount val="3"/>
                <c:pt idx="0">
                  <c:v>Jan</c:v>
                </c:pt>
                <c:pt idx="1">
                  <c:v>Feb</c:v>
                </c:pt>
                <c:pt idx="2">
                  <c:v>Mar</c:v>
                </c:pt>
              </c:strCache>
            </c:strRef>
          </c:cat>
          <c:val>
            <c:numRef>
              <c:f>ANALYSIS1!$C$31:$C$34</c:f>
              <c:numCache>
                <c:formatCode>[$₦-469]\ #,##0</c:formatCode>
                <c:ptCount val="3"/>
                <c:pt idx="0">
                  <c:v>224300</c:v>
                </c:pt>
                <c:pt idx="1">
                  <c:v>229700</c:v>
                </c:pt>
                <c:pt idx="2">
                  <c:v>236500</c:v>
                </c:pt>
              </c:numCache>
            </c:numRef>
          </c:val>
          <c:smooth val="0"/>
          <c:extLst>
            <c:ext xmlns:c16="http://schemas.microsoft.com/office/drawing/2014/chart" uri="{C3380CC4-5D6E-409C-BE32-E72D297353CC}">
              <c16:uniqueId val="{00000000-48BB-4FA3-B55B-52A4CCA00E5B}"/>
            </c:ext>
          </c:extLst>
        </c:ser>
        <c:ser>
          <c:idx val="1"/>
          <c:order val="1"/>
          <c:tx>
            <c:strRef>
              <c:f>ANALYSIS1!$D$29:$D$30</c:f>
              <c:strCache>
                <c:ptCount val="1"/>
                <c:pt idx="0">
                  <c:v>Engineering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ANALYSIS1!$B$31:$B$34</c:f>
              <c:strCache>
                <c:ptCount val="3"/>
                <c:pt idx="0">
                  <c:v>Jan</c:v>
                </c:pt>
                <c:pt idx="1">
                  <c:v>Feb</c:v>
                </c:pt>
                <c:pt idx="2">
                  <c:v>Mar</c:v>
                </c:pt>
              </c:strCache>
            </c:strRef>
          </c:cat>
          <c:val>
            <c:numRef>
              <c:f>ANALYSIS1!$D$31:$D$34</c:f>
              <c:numCache>
                <c:formatCode>[$₦-469]\ #,##0</c:formatCode>
                <c:ptCount val="3"/>
                <c:pt idx="0">
                  <c:v>1687000</c:v>
                </c:pt>
                <c:pt idx="1">
                  <c:v>1688500</c:v>
                </c:pt>
                <c:pt idx="2">
                  <c:v>1755500</c:v>
                </c:pt>
              </c:numCache>
            </c:numRef>
          </c:val>
          <c:smooth val="0"/>
          <c:extLst>
            <c:ext xmlns:c16="http://schemas.microsoft.com/office/drawing/2014/chart" uri="{C3380CC4-5D6E-409C-BE32-E72D297353CC}">
              <c16:uniqueId val="{00000023-23D7-4FE2-8D88-80FDA026B245}"/>
            </c:ext>
          </c:extLst>
        </c:ser>
        <c:ser>
          <c:idx val="2"/>
          <c:order val="2"/>
          <c:tx>
            <c:strRef>
              <c:f>ANALYSIS1!$E$29:$E$30</c:f>
              <c:strCache>
                <c:ptCount val="1"/>
                <c:pt idx="0">
                  <c:v>Finance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ANALYSIS1!$B$31:$B$34</c:f>
              <c:strCache>
                <c:ptCount val="3"/>
                <c:pt idx="0">
                  <c:v>Jan</c:v>
                </c:pt>
                <c:pt idx="1">
                  <c:v>Feb</c:v>
                </c:pt>
                <c:pt idx="2">
                  <c:v>Mar</c:v>
                </c:pt>
              </c:strCache>
            </c:strRef>
          </c:cat>
          <c:val>
            <c:numRef>
              <c:f>ANALYSIS1!$E$31:$E$34</c:f>
              <c:numCache>
                <c:formatCode>[$₦-469]\ #,##0</c:formatCode>
                <c:ptCount val="3"/>
                <c:pt idx="0">
                  <c:v>184300</c:v>
                </c:pt>
                <c:pt idx="1">
                  <c:v>182000</c:v>
                </c:pt>
                <c:pt idx="2">
                  <c:v>191300</c:v>
                </c:pt>
              </c:numCache>
            </c:numRef>
          </c:val>
          <c:smooth val="0"/>
          <c:extLst>
            <c:ext xmlns:c16="http://schemas.microsoft.com/office/drawing/2014/chart" uri="{C3380CC4-5D6E-409C-BE32-E72D297353CC}">
              <c16:uniqueId val="{00000024-23D7-4FE2-8D88-80FDA026B245}"/>
            </c:ext>
          </c:extLst>
        </c:ser>
        <c:ser>
          <c:idx val="3"/>
          <c:order val="3"/>
          <c:tx>
            <c:strRef>
              <c:f>ANALYSIS1!$F$29:$F$30</c:f>
              <c:strCache>
                <c:ptCount val="1"/>
                <c:pt idx="0">
                  <c:v>HR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ANALYSIS1!$B$31:$B$34</c:f>
              <c:strCache>
                <c:ptCount val="3"/>
                <c:pt idx="0">
                  <c:v>Jan</c:v>
                </c:pt>
                <c:pt idx="1">
                  <c:v>Feb</c:v>
                </c:pt>
                <c:pt idx="2">
                  <c:v>Mar</c:v>
                </c:pt>
              </c:strCache>
            </c:strRef>
          </c:cat>
          <c:val>
            <c:numRef>
              <c:f>ANALYSIS1!$F$31:$F$34</c:f>
              <c:numCache>
                <c:formatCode>[$₦-469]\ #,##0</c:formatCode>
                <c:ptCount val="3"/>
                <c:pt idx="0">
                  <c:v>131000</c:v>
                </c:pt>
                <c:pt idx="1">
                  <c:v>129700</c:v>
                </c:pt>
                <c:pt idx="2">
                  <c:v>138500</c:v>
                </c:pt>
              </c:numCache>
            </c:numRef>
          </c:val>
          <c:smooth val="0"/>
          <c:extLst>
            <c:ext xmlns:c16="http://schemas.microsoft.com/office/drawing/2014/chart" uri="{C3380CC4-5D6E-409C-BE32-E72D297353CC}">
              <c16:uniqueId val="{00000025-23D7-4FE2-8D88-80FDA026B245}"/>
            </c:ext>
          </c:extLst>
        </c:ser>
        <c:ser>
          <c:idx val="4"/>
          <c:order val="4"/>
          <c:tx>
            <c:strRef>
              <c:f>ANALYSIS1!$G$29:$G$30</c:f>
              <c:strCache>
                <c:ptCount val="1"/>
                <c:pt idx="0">
                  <c:v>Marketing</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ANALYSIS1!$B$31:$B$34</c:f>
              <c:strCache>
                <c:ptCount val="3"/>
                <c:pt idx="0">
                  <c:v>Jan</c:v>
                </c:pt>
                <c:pt idx="1">
                  <c:v>Feb</c:v>
                </c:pt>
                <c:pt idx="2">
                  <c:v>Mar</c:v>
                </c:pt>
              </c:strCache>
            </c:strRef>
          </c:cat>
          <c:val>
            <c:numRef>
              <c:f>ANALYSIS1!$G$31:$G$34</c:f>
              <c:numCache>
                <c:formatCode>[$₦-469]\ #,##0</c:formatCode>
                <c:ptCount val="3"/>
                <c:pt idx="0">
                  <c:v>585000</c:v>
                </c:pt>
                <c:pt idx="1">
                  <c:v>596000</c:v>
                </c:pt>
                <c:pt idx="2">
                  <c:v>629000</c:v>
                </c:pt>
              </c:numCache>
            </c:numRef>
          </c:val>
          <c:smooth val="0"/>
          <c:extLst>
            <c:ext xmlns:c16="http://schemas.microsoft.com/office/drawing/2014/chart" uri="{C3380CC4-5D6E-409C-BE32-E72D297353CC}">
              <c16:uniqueId val="{00000026-23D7-4FE2-8D88-80FDA026B245}"/>
            </c:ext>
          </c:extLst>
        </c:ser>
        <c:ser>
          <c:idx val="5"/>
          <c:order val="5"/>
          <c:tx>
            <c:strRef>
              <c:f>ANALYSIS1!$H$29:$H$30</c:f>
              <c:strCache>
                <c:ptCount val="1"/>
                <c:pt idx="0">
                  <c:v>Operations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ANALYSIS1!$B$31:$B$34</c:f>
              <c:strCache>
                <c:ptCount val="3"/>
                <c:pt idx="0">
                  <c:v>Jan</c:v>
                </c:pt>
                <c:pt idx="1">
                  <c:v>Feb</c:v>
                </c:pt>
                <c:pt idx="2">
                  <c:v>Mar</c:v>
                </c:pt>
              </c:strCache>
            </c:strRef>
          </c:cat>
          <c:val>
            <c:numRef>
              <c:f>ANALYSIS1!$H$31:$H$34</c:f>
              <c:numCache>
                <c:formatCode>[$₦-469]\ #,##0</c:formatCode>
                <c:ptCount val="3"/>
                <c:pt idx="0">
                  <c:v>226500</c:v>
                </c:pt>
                <c:pt idx="1">
                  <c:v>231500</c:v>
                </c:pt>
                <c:pt idx="2">
                  <c:v>242500</c:v>
                </c:pt>
              </c:numCache>
            </c:numRef>
          </c:val>
          <c:smooth val="0"/>
          <c:extLst>
            <c:ext xmlns:c16="http://schemas.microsoft.com/office/drawing/2014/chart" uri="{C3380CC4-5D6E-409C-BE32-E72D297353CC}">
              <c16:uniqueId val="{00000027-23D7-4FE2-8D88-80FDA026B245}"/>
            </c:ext>
          </c:extLst>
        </c:ser>
        <c:ser>
          <c:idx val="6"/>
          <c:order val="6"/>
          <c:tx>
            <c:strRef>
              <c:f>ANALYSIS1!$I$29:$I$30</c:f>
              <c:strCache>
                <c:ptCount val="1"/>
                <c:pt idx="0">
                  <c:v>Product</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ANALYSIS1!$B$31:$B$34</c:f>
              <c:strCache>
                <c:ptCount val="3"/>
                <c:pt idx="0">
                  <c:v>Jan</c:v>
                </c:pt>
                <c:pt idx="1">
                  <c:v>Feb</c:v>
                </c:pt>
                <c:pt idx="2">
                  <c:v>Mar</c:v>
                </c:pt>
              </c:strCache>
            </c:strRef>
          </c:cat>
          <c:val>
            <c:numRef>
              <c:f>ANALYSIS1!$I$31:$I$34</c:f>
              <c:numCache>
                <c:formatCode>[$₦-469]\ #,##0</c:formatCode>
                <c:ptCount val="3"/>
                <c:pt idx="0">
                  <c:v>438700</c:v>
                </c:pt>
                <c:pt idx="1">
                  <c:v>448500</c:v>
                </c:pt>
                <c:pt idx="2">
                  <c:v>464000</c:v>
                </c:pt>
              </c:numCache>
            </c:numRef>
          </c:val>
          <c:smooth val="0"/>
          <c:extLst>
            <c:ext xmlns:c16="http://schemas.microsoft.com/office/drawing/2014/chart" uri="{C3380CC4-5D6E-409C-BE32-E72D297353CC}">
              <c16:uniqueId val="{00000028-23D7-4FE2-8D88-80FDA026B245}"/>
            </c:ext>
          </c:extLst>
        </c:ser>
        <c:ser>
          <c:idx val="7"/>
          <c:order val="7"/>
          <c:tx>
            <c:strRef>
              <c:f>ANALYSIS1!$J$29:$J$30</c:f>
              <c:strCache>
                <c:ptCount val="1"/>
                <c:pt idx="0">
                  <c:v>Sales</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ANALYSIS1!$B$31:$B$34</c:f>
              <c:strCache>
                <c:ptCount val="3"/>
                <c:pt idx="0">
                  <c:v>Jan</c:v>
                </c:pt>
                <c:pt idx="1">
                  <c:v>Feb</c:v>
                </c:pt>
                <c:pt idx="2">
                  <c:v>Mar</c:v>
                </c:pt>
              </c:strCache>
            </c:strRef>
          </c:cat>
          <c:val>
            <c:numRef>
              <c:f>ANALYSIS1!$J$31:$J$34</c:f>
              <c:numCache>
                <c:formatCode>[$₦-469]\ #,##0</c:formatCode>
                <c:ptCount val="3"/>
                <c:pt idx="0">
                  <c:v>721200</c:v>
                </c:pt>
                <c:pt idx="1">
                  <c:v>727500</c:v>
                </c:pt>
                <c:pt idx="2">
                  <c:v>758000</c:v>
                </c:pt>
              </c:numCache>
            </c:numRef>
          </c:val>
          <c:smooth val="0"/>
          <c:extLst>
            <c:ext xmlns:c16="http://schemas.microsoft.com/office/drawing/2014/chart" uri="{C3380CC4-5D6E-409C-BE32-E72D297353CC}">
              <c16:uniqueId val="{00000029-23D7-4FE2-8D88-80FDA026B245}"/>
            </c:ext>
          </c:extLst>
        </c:ser>
        <c:dLbls>
          <c:showLegendKey val="0"/>
          <c:showVal val="0"/>
          <c:showCatName val="0"/>
          <c:showSerName val="0"/>
          <c:showPercent val="0"/>
          <c:showBubbleSize val="0"/>
        </c:dLbls>
        <c:marker val="1"/>
        <c:smooth val="0"/>
        <c:axId val="1340982447"/>
        <c:axId val="1346245583"/>
      </c:lineChart>
      <c:catAx>
        <c:axId val="134098244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346245583"/>
        <c:crosses val="autoZero"/>
        <c:auto val="1"/>
        <c:lblAlgn val="ctr"/>
        <c:lblOffset val="100"/>
        <c:noMultiLvlLbl val="0"/>
      </c:catAx>
      <c:valAx>
        <c:axId val="1346245583"/>
        <c:scaling>
          <c:orientation val="minMax"/>
        </c:scaling>
        <c:delete val="0"/>
        <c:axPos val="l"/>
        <c:numFmt formatCode="[$₦-46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34098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 Analysis.xlsx]ANALYSIS2!PivotTable1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Category-wise</a:t>
            </a:r>
            <a:r>
              <a:rPr lang="en-US" baseline="0"/>
              <a:t> spending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ANALYSIS2!$G$3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ANALYSIS2!$F$4:$F$12</c:f>
              <c:strCache>
                <c:ptCount val="8"/>
                <c:pt idx="0">
                  <c:v>Personnel</c:v>
                </c:pt>
                <c:pt idx="1">
                  <c:v>Technology</c:v>
                </c:pt>
                <c:pt idx="2">
                  <c:v>Advertising</c:v>
                </c:pt>
                <c:pt idx="3">
                  <c:v>Professional Services</c:v>
                </c:pt>
                <c:pt idx="4">
                  <c:v>Travel</c:v>
                </c:pt>
                <c:pt idx="5">
                  <c:v>Operations</c:v>
                </c:pt>
                <c:pt idx="6">
                  <c:v>Facilities</c:v>
                </c:pt>
                <c:pt idx="7">
                  <c:v>Marketing</c:v>
                </c:pt>
              </c:strCache>
            </c:strRef>
          </c:cat>
          <c:val>
            <c:numRef>
              <c:f>ANALYSIS2!$G$4:$G$12</c:f>
              <c:numCache>
                <c:formatCode>General</c:formatCode>
                <c:ptCount val="8"/>
                <c:pt idx="0">
                  <c:v>10453000</c:v>
                </c:pt>
                <c:pt idx="1">
                  <c:v>771700</c:v>
                </c:pt>
                <c:pt idx="2">
                  <c:v>630000</c:v>
                </c:pt>
                <c:pt idx="3">
                  <c:v>339500</c:v>
                </c:pt>
                <c:pt idx="4">
                  <c:v>281700</c:v>
                </c:pt>
                <c:pt idx="5">
                  <c:v>156300</c:v>
                </c:pt>
                <c:pt idx="6">
                  <c:v>119500</c:v>
                </c:pt>
                <c:pt idx="7">
                  <c:v>95000</c:v>
                </c:pt>
              </c:numCache>
            </c:numRef>
          </c:val>
          <c:extLst>
            <c:ext xmlns:c16="http://schemas.microsoft.com/office/drawing/2014/chart" uri="{C3380CC4-5D6E-409C-BE32-E72D297353CC}">
              <c16:uniqueId val="{00000000-BFF7-42AB-A4A3-3CADBA546026}"/>
            </c:ext>
          </c:extLst>
        </c:ser>
        <c:dLbls>
          <c:dLblPos val="outEnd"/>
          <c:showLegendKey val="0"/>
          <c:showVal val="1"/>
          <c:showCatName val="0"/>
          <c:showSerName val="0"/>
          <c:showPercent val="0"/>
          <c:showBubbleSize val="0"/>
        </c:dLbls>
        <c:gapWidth val="182"/>
        <c:axId val="1099973743"/>
        <c:axId val="1096716975"/>
      </c:barChart>
      <c:catAx>
        <c:axId val="1099973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96716975"/>
        <c:crosses val="autoZero"/>
        <c:auto val="1"/>
        <c:lblAlgn val="ctr"/>
        <c:lblOffset val="100"/>
        <c:noMultiLvlLbl val="0"/>
      </c:catAx>
      <c:valAx>
        <c:axId val="1096716975"/>
        <c:scaling>
          <c:orientation val="minMax"/>
        </c:scaling>
        <c:delete val="1"/>
        <c:axPos val="b"/>
        <c:numFmt formatCode="General" sourceLinked="1"/>
        <c:majorTickMark val="out"/>
        <c:minorTickMark val="none"/>
        <c:tickLblPos val="nextTo"/>
        <c:crossAx val="1099973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 Analysis.xlsx]ANALYSIS1!PivotTable3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400">
                <a:latin typeface="Calibri" panose="020F0502020204030204" pitchFamily="34" charset="0"/>
                <a:ea typeface="Calibri" panose="020F0502020204030204" pitchFamily="34" charset="0"/>
                <a:cs typeface="Calibri" panose="020F0502020204030204" pitchFamily="34" charset="0"/>
              </a:rPr>
              <a:t>Budget</a:t>
            </a:r>
            <a:r>
              <a:rPr lang="en-US" sz="1400" baseline="0">
                <a:latin typeface="Calibri" panose="020F0502020204030204" pitchFamily="34" charset="0"/>
                <a:ea typeface="Calibri" panose="020F0502020204030204" pitchFamily="34" charset="0"/>
                <a:cs typeface="Calibri" panose="020F0502020204030204" pitchFamily="34" charset="0"/>
              </a:rPr>
              <a:t> vs Actual Spend by Departments</a:t>
            </a:r>
            <a:endParaRPr lang="en-US" sz="1400">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6">
              <a:lumMod val="75000"/>
            </a:schemeClr>
          </a:solidFill>
          <a:ln>
            <a:noFill/>
          </a:ln>
          <a:effectLst/>
        </c:spPr>
        <c:marker>
          <c:symbol val="none"/>
        </c:marker>
      </c:pivotFmt>
      <c:pivotFmt>
        <c:idx val="7"/>
        <c:spPr>
          <a:solidFill>
            <a:schemeClr val="accent6"/>
          </a:solidFill>
          <a:ln>
            <a:noFill/>
          </a:ln>
          <a:effectLst/>
        </c:spPr>
        <c:marker>
          <c:symbol val="none"/>
        </c:marker>
      </c:pivotFmt>
      <c:pivotFmt>
        <c:idx val="8"/>
        <c:spPr>
          <a:solidFill>
            <a:schemeClr val="accent1"/>
          </a:solidFill>
          <a:ln>
            <a:noFill/>
          </a:ln>
          <a:effectLst/>
        </c:spPr>
        <c:marker>
          <c:symbol val="none"/>
        </c:marker>
      </c:pivotFmt>
    </c:pivotFmts>
    <c:plotArea>
      <c:layout>
        <c:manualLayout>
          <c:layoutTarget val="inner"/>
          <c:xMode val="edge"/>
          <c:yMode val="edge"/>
          <c:x val="0.14915800524934383"/>
          <c:y val="0.16567801498585222"/>
          <c:w val="0.74416891221930603"/>
          <c:h val="0.6289947534020236"/>
        </c:manualLayout>
      </c:layout>
      <c:barChart>
        <c:barDir val="col"/>
        <c:grouping val="clustered"/>
        <c:varyColors val="0"/>
        <c:ser>
          <c:idx val="0"/>
          <c:order val="0"/>
          <c:tx>
            <c:strRef>
              <c:f>ANALYSIS1!$B$3</c:f>
              <c:strCache>
                <c:ptCount val="1"/>
                <c:pt idx="0">
                  <c:v>Sum of Actual_Spend</c:v>
                </c:pt>
              </c:strCache>
            </c:strRef>
          </c:tx>
          <c:spPr>
            <a:solidFill>
              <a:schemeClr val="accent6">
                <a:lumMod val="75000"/>
              </a:schemeClr>
            </a:solidFill>
            <a:ln>
              <a:noFill/>
            </a:ln>
            <a:effectLst/>
          </c:spPr>
          <c:invertIfNegative val="0"/>
          <c:cat>
            <c:strRef>
              <c:f>ANALYSIS1!$A$4:$A$12</c:f>
              <c:strCache>
                <c:ptCount val="8"/>
                <c:pt idx="0">
                  <c:v>Engineering</c:v>
                </c:pt>
                <c:pt idx="1">
                  <c:v>Sales</c:v>
                </c:pt>
                <c:pt idx="2">
                  <c:v>Marketing</c:v>
                </c:pt>
                <c:pt idx="3">
                  <c:v>Product</c:v>
                </c:pt>
                <c:pt idx="4">
                  <c:v>HR</c:v>
                </c:pt>
                <c:pt idx="5">
                  <c:v>Customer Success</c:v>
                </c:pt>
                <c:pt idx="6">
                  <c:v>Finance</c:v>
                </c:pt>
                <c:pt idx="7">
                  <c:v>Operations</c:v>
                </c:pt>
              </c:strCache>
            </c:strRef>
          </c:cat>
          <c:val>
            <c:numRef>
              <c:f>ANALYSIS1!$B$4:$B$12</c:f>
              <c:numCache>
                <c:formatCode>[$₦-469]\ #,##0</c:formatCode>
                <c:ptCount val="8"/>
                <c:pt idx="0">
                  <c:v>5131000</c:v>
                </c:pt>
                <c:pt idx="1">
                  <c:v>2206700</c:v>
                </c:pt>
                <c:pt idx="2">
                  <c:v>1810000</c:v>
                </c:pt>
                <c:pt idx="3">
                  <c:v>1351200</c:v>
                </c:pt>
                <c:pt idx="4">
                  <c:v>399200</c:v>
                </c:pt>
                <c:pt idx="5">
                  <c:v>690500</c:v>
                </c:pt>
                <c:pt idx="6">
                  <c:v>557600</c:v>
                </c:pt>
                <c:pt idx="7">
                  <c:v>700500</c:v>
                </c:pt>
              </c:numCache>
            </c:numRef>
          </c:val>
          <c:extLst>
            <c:ext xmlns:c16="http://schemas.microsoft.com/office/drawing/2014/chart" uri="{C3380CC4-5D6E-409C-BE32-E72D297353CC}">
              <c16:uniqueId val="{00000000-EA7B-4C84-841E-9979C3D39286}"/>
            </c:ext>
          </c:extLst>
        </c:ser>
        <c:ser>
          <c:idx val="1"/>
          <c:order val="1"/>
          <c:tx>
            <c:strRef>
              <c:f>ANALYSIS1!$C$3</c:f>
              <c:strCache>
                <c:ptCount val="1"/>
                <c:pt idx="0">
                  <c:v>Sum of Budget_Monthly</c:v>
                </c:pt>
              </c:strCache>
            </c:strRef>
          </c:tx>
          <c:spPr>
            <a:solidFill>
              <a:schemeClr val="accent6"/>
            </a:solidFill>
            <a:ln>
              <a:noFill/>
            </a:ln>
            <a:effectLst/>
          </c:spPr>
          <c:invertIfNegative val="0"/>
          <c:cat>
            <c:strRef>
              <c:f>ANALYSIS1!$A$4:$A$12</c:f>
              <c:strCache>
                <c:ptCount val="8"/>
                <c:pt idx="0">
                  <c:v>Engineering</c:v>
                </c:pt>
                <c:pt idx="1">
                  <c:v>Sales</c:v>
                </c:pt>
                <c:pt idx="2">
                  <c:v>Marketing</c:v>
                </c:pt>
                <c:pt idx="3">
                  <c:v>Product</c:v>
                </c:pt>
                <c:pt idx="4">
                  <c:v>HR</c:v>
                </c:pt>
                <c:pt idx="5">
                  <c:v>Customer Success</c:v>
                </c:pt>
                <c:pt idx="6">
                  <c:v>Finance</c:v>
                </c:pt>
                <c:pt idx="7">
                  <c:v>Operations</c:v>
                </c:pt>
              </c:strCache>
            </c:strRef>
          </c:cat>
          <c:val>
            <c:numRef>
              <c:f>ANALYSIS1!$C$4:$C$12</c:f>
              <c:numCache>
                <c:formatCode>[$₦-469]\ #,##0</c:formatCode>
                <c:ptCount val="8"/>
                <c:pt idx="0">
                  <c:v>4980000</c:v>
                </c:pt>
                <c:pt idx="1">
                  <c:v>2130000</c:v>
                </c:pt>
                <c:pt idx="2">
                  <c:v>1740000</c:v>
                </c:pt>
                <c:pt idx="3">
                  <c:v>1290000</c:v>
                </c:pt>
                <c:pt idx="4">
                  <c:v>378000</c:v>
                </c:pt>
                <c:pt idx="5">
                  <c:v>672000</c:v>
                </c:pt>
                <c:pt idx="6">
                  <c:v>555000</c:v>
                </c:pt>
                <c:pt idx="7">
                  <c:v>702000</c:v>
                </c:pt>
              </c:numCache>
            </c:numRef>
          </c:val>
          <c:extLst>
            <c:ext xmlns:c16="http://schemas.microsoft.com/office/drawing/2014/chart" uri="{C3380CC4-5D6E-409C-BE32-E72D297353CC}">
              <c16:uniqueId val="{00000001-EA7B-4C84-841E-9979C3D39286}"/>
            </c:ext>
          </c:extLst>
        </c:ser>
        <c:ser>
          <c:idx val="2"/>
          <c:order val="2"/>
          <c:tx>
            <c:strRef>
              <c:f>ANALYSIS1!$D$3</c:f>
              <c:strCache>
                <c:ptCount val="1"/>
                <c:pt idx="0">
                  <c:v>Sum of Difference</c:v>
                </c:pt>
              </c:strCache>
            </c:strRef>
          </c:tx>
          <c:spPr>
            <a:solidFill>
              <a:schemeClr val="accent3"/>
            </a:solidFill>
            <a:ln>
              <a:noFill/>
            </a:ln>
            <a:effectLst/>
          </c:spPr>
          <c:invertIfNegative val="0"/>
          <c:cat>
            <c:strRef>
              <c:f>ANALYSIS1!$A$4:$A$12</c:f>
              <c:strCache>
                <c:ptCount val="8"/>
                <c:pt idx="0">
                  <c:v>Engineering</c:v>
                </c:pt>
                <c:pt idx="1">
                  <c:v>Sales</c:v>
                </c:pt>
                <c:pt idx="2">
                  <c:v>Marketing</c:v>
                </c:pt>
                <c:pt idx="3">
                  <c:v>Product</c:v>
                </c:pt>
                <c:pt idx="4">
                  <c:v>HR</c:v>
                </c:pt>
                <c:pt idx="5">
                  <c:v>Customer Success</c:v>
                </c:pt>
                <c:pt idx="6">
                  <c:v>Finance</c:v>
                </c:pt>
                <c:pt idx="7">
                  <c:v>Operations</c:v>
                </c:pt>
              </c:strCache>
            </c:strRef>
          </c:cat>
          <c:val>
            <c:numRef>
              <c:f>ANALYSIS1!$D$4:$D$12</c:f>
              <c:numCache>
                <c:formatCode>[$₦-469]\ #,##0</c:formatCode>
                <c:ptCount val="8"/>
                <c:pt idx="0">
                  <c:v>151000</c:v>
                </c:pt>
                <c:pt idx="1">
                  <c:v>76700</c:v>
                </c:pt>
                <c:pt idx="2">
                  <c:v>70000</c:v>
                </c:pt>
                <c:pt idx="3">
                  <c:v>61200</c:v>
                </c:pt>
                <c:pt idx="4">
                  <c:v>21200</c:v>
                </c:pt>
                <c:pt idx="5">
                  <c:v>18500</c:v>
                </c:pt>
                <c:pt idx="6">
                  <c:v>2600</c:v>
                </c:pt>
                <c:pt idx="7">
                  <c:v>-1500</c:v>
                </c:pt>
              </c:numCache>
            </c:numRef>
          </c:val>
          <c:extLst>
            <c:ext xmlns:c16="http://schemas.microsoft.com/office/drawing/2014/chart" uri="{C3380CC4-5D6E-409C-BE32-E72D297353CC}">
              <c16:uniqueId val="{00000002-EA7B-4C84-841E-9979C3D39286}"/>
            </c:ext>
          </c:extLst>
        </c:ser>
        <c:dLbls>
          <c:showLegendKey val="0"/>
          <c:showVal val="0"/>
          <c:showCatName val="0"/>
          <c:showSerName val="0"/>
          <c:showPercent val="0"/>
          <c:showBubbleSize val="0"/>
        </c:dLbls>
        <c:gapWidth val="219"/>
        <c:overlap val="-27"/>
        <c:axId val="2144372304"/>
        <c:axId val="264329216"/>
      </c:barChart>
      <c:catAx>
        <c:axId val="214437230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j-lt"/>
                <a:ea typeface="+mn-ea"/>
                <a:cs typeface="+mn-cs"/>
              </a:defRPr>
            </a:pPr>
            <a:endParaRPr lang="en-US"/>
          </a:p>
        </c:txPr>
        <c:crossAx val="264329216"/>
        <c:crosses val="autoZero"/>
        <c:auto val="1"/>
        <c:lblAlgn val="ctr"/>
        <c:lblOffset val="100"/>
        <c:noMultiLvlLbl val="0"/>
      </c:catAx>
      <c:valAx>
        <c:axId val="264329216"/>
        <c:scaling>
          <c:orientation val="minMax"/>
        </c:scaling>
        <c:delete val="0"/>
        <c:axPos val="l"/>
        <c:numFmt formatCode="[$₦-469]\ #,##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144372304"/>
        <c:crosses val="autoZero"/>
        <c:crossBetween val="between"/>
      </c:valAx>
      <c:spPr>
        <a:noFill/>
        <a:ln>
          <a:noFill/>
        </a:ln>
        <a:effectLst/>
      </c:spPr>
    </c:plotArea>
    <c:legend>
      <c:legendPos val="r"/>
      <c:layout>
        <c:manualLayout>
          <c:xMode val="edge"/>
          <c:yMode val="edge"/>
          <c:x val="0.77236158715454684"/>
          <c:y val="0.21478491903098013"/>
          <c:w val="0.21783449127682569"/>
          <c:h val="0.2645087969884803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lt1">
          <a:shade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 Analysis.xlsx]ANALYSIS1!PivotTable1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Varian</a:t>
            </a:r>
            <a:r>
              <a:rPr lang="en-US">
                <a:latin typeface="Calibri" panose="020F0502020204030204" pitchFamily="34" charset="0"/>
                <a:ea typeface="Calibri" panose="020F0502020204030204" pitchFamily="34" charset="0"/>
                <a:cs typeface="Calibri" panose="020F0502020204030204" pitchFamily="34" charset="0"/>
              </a:rPr>
              <a:t>c</a:t>
            </a:r>
            <a:r>
              <a:rPr lang="en-US"/>
              <a:t>e</a:t>
            </a:r>
            <a:r>
              <a:rPr lang="en-US" baseline="0"/>
              <a:t> Analysis</a:t>
            </a:r>
            <a:endParaRPr lang="en-US"/>
          </a:p>
        </c:rich>
      </c:tx>
      <c:layout>
        <c:manualLayout>
          <c:xMode val="edge"/>
          <c:yMode val="edge"/>
          <c:x val="0.45383158404955559"/>
          <c:y val="1.62154294279826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6">
              <a:lumMod val="50000"/>
            </a:schemeClr>
          </a:solidFill>
          <a:ln w="19050">
            <a:solidFill>
              <a:schemeClr val="lt1">
                <a:shade val="50000"/>
              </a:schemeClr>
            </a:solidFill>
          </a:ln>
          <a:effectLst/>
        </c:spPr>
        <c:marker>
          <c:symbol val="none"/>
        </c:marker>
      </c:pivotFmt>
      <c:pivotFmt>
        <c:idx val="5"/>
        <c:spPr>
          <a:solidFill>
            <a:schemeClr val="accent1"/>
          </a:solidFill>
          <a:ln>
            <a:noFill/>
          </a:ln>
          <a:effectLst/>
        </c:spPr>
        <c:marker>
          <c:symbol val="none"/>
        </c:marker>
      </c:pivotFmt>
      <c:pivotFmt>
        <c:idx val="6"/>
        <c:spPr>
          <a:solidFill>
            <a:schemeClr val="accent6">
              <a:lumMod val="50000"/>
            </a:schemeClr>
          </a:solidFill>
          <a:ln w="19050">
            <a:solidFill>
              <a:schemeClr val="lt1">
                <a:shade val="50000"/>
              </a:schemeClr>
            </a:solidFill>
          </a:ln>
          <a:effectLst/>
        </c:spPr>
      </c:pivotFmt>
      <c:pivotFmt>
        <c:idx val="7"/>
        <c:spPr>
          <a:solidFill>
            <a:schemeClr val="accent6">
              <a:lumMod val="50000"/>
            </a:schemeClr>
          </a:solidFill>
          <a:ln w="19050">
            <a:solidFill>
              <a:schemeClr val="lt1">
                <a:shade val="50000"/>
              </a:schemeClr>
            </a:solidFill>
          </a:ln>
          <a:effectLst/>
        </c:spPr>
      </c:pivotFmt>
      <c:pivotFmt>
        <c:idx val="8"/>
        <c:spPr>
          <a:solidFill>
            <a:schemeClr val="accent6">
              <a:lumMod val="50000"/>
            </a:schemeClr>
          </a:solidFill>
          <a:ln w="19050">
            <a:solidFill>
              <a:schemeClr val="lt1">
                <a:shade val="50000"/>
              </a:schemeClr>
            </a:solidFill>
          </a:ln>
          <a:effectLst/>
        </c:spPr>
      </c:pivotFmt>
      <c:pivotFmt>
        <c:idx val="9"/>
        <c:spPr>
          <a:solidFill>
            <a:schemeClr val="accent6">
              <a:lumMod val="50000"/>
            </a:schemeClr>
          </a:solidFill>
          <a:ln w="19050">
            <a:solidFill>
              <a:schemeClr val="lt1">
                <a:shade val="50000"/>
              </a:schemeClr>
            </a:solidFill>
          </a:ln>
          <a:effectLst/>
        </c:spPr>
      </c:pivotFmt>
      <c:pivotFmt>
        <c:idx val="10"/>
        <c:spPr>
          <a:solidFill>
            <a:schemeClr val="accent6">
              <a:lumMod val="20000"/>
              <a:lumOff val="80000"/>
            </a:schemeClr>
          </a:solidFill>
          <a:ln>
            <a:noFill/>
          </a:ln>
          <a:effectLst/>
        </c:spPr>
      </c:pivotFmt>
      <c:pivotFmt>
        <c:idx val="11"/>
        <c:spPr>
          <a:solidFill>
            <a:schemeClr val="accent6">
              <a:lumMod val="50000"/>
            </a:schemeClr>
          </a:solidFill>
          <a:ln w="19050">
            <a:solidFill>
              <a:schemeClr val="lt1">
                <a:shade val="50000"/>
              </a:schemeClr>
            </a:solidFill>
          </a:ln>
          <a:effectLst/>
        </c:spPr>
      </c:pivotFmt>
    </c:pivotFmts>
    <c:plotArea>
      <c:layout>
        <c:manualLayout>
          <c:layoutTarget val="inner"/>
          <c:xMode val="edge"/>
          <c:yMode val="edge"/>
          <c:x val="8.2143303256070138E-2"/>
          <c:y val="0.11906205922756714"/>
          <c:w val="0.70586791480945821"/>
          <c:h val="0.80674229894782723"/>
        </c:manualLayout>
      </c:layout>
      <c:barChart>
        <c:barDir val="bar"/>
        <c:grouping val="stacked"/>
        <c:varyColors val="0"/>
        <c:ser>
          <c:idx val="0"/>
          <c:order val="0"/>
          <c:tx>
            <c:strRef>
              <c:f>ANALYSIS1!$G$3</c:f>
              <c:strCache>
                <c:ptCount val="1"/>
                <c:pt idx="0">
                  <c:v>Sum of Variance_Amount</c:v>
                </c:pt>
              </c:strCache>
            </c:strRef>
          </c:tx>
          <c:spPr>
            <a:solidFill>
              <a:schemeClr val="accent6">
                <a:lumMod val="50000"/>
              </a:schemeClr>
            </a:solidFill>
            <a:ln w="19050">
              <a:solidFill>
                <a:schemeClr val="lt1">
                  <a:shade val="50000"/>
                </a:schemeClr>
              </a:solidFill>
            </a:ln>
            <a:effectLst/>
          </c:spPr>
          <c:invertIfNegative val="0"/>
          <c:cat>
            <c:strRef>
              <c:f>ANALYSIS1!$F$4:$F$12</c:f>
              <c:strCache>
                <c:ptCount val="8"/>
                <c:pt idx="0">
                  <c:v>Operations</c:v>
                </c:pt>
                <c:pt idx="1">
                  <c:v>Finance</c:v>
                </c:pt>
                <c:pt idx="2">
                  <c:v>Customer Success</c:v>
                </c:pt>
                <c:pt idx="3">
                  <c:v>HR</c:v>
                </c:pt>
                <c:pt idx="4">
                  <c:v>Product</c:v>
                </c:pt>
                <c:pt idx="5">
                  <c:v>Marketing</c:v>
                </c:pt>
                <c:pt idx="6">
                  <c:v>Sales</c:v>
                </c:pt>
                <c:pt idx="7">
                  <c:v>Engineering</c:v>
                </c:pt>
              </c:strCache>
            </c:strRef>
          </c:cat>
          <c:val>
            <c:numRef>
              <c:f>ANALYSIS1!$G$4:$G$12</c:f>
              <c:numCache>
                <c:formatCode>General</c:formatCode>
                <c:ptCount val="8"/>
                <c:pt idx="0">
                  <c:v>1500</c:v>
                </c:pt>
                <c:pt idx="1">
                  <c:v>-2600</c:v>
                </c:pt>
                <c:pt idx="2">
                  <c:v>-18500</c:v>
                </c:pt>
                <c:pt idx="3">
                  <c:v>-21200</c:v>
                </c:pt>
                <c:pt idx="4">
                  <c:v>-61200</c:v>
                </c:pt>
                <c:pt idx="5">
                  <c:v>-70000</c:v>
                </c:pt>
                <c:pt idx="6">
                  <c:v>-76700</c:v>
                </c:pt>
                <c:pt idx="7">
                  <c:v>-151000</c:v>
                </c:pt>
              </c:numCache>
            </c:numRef>
          </c:val>
          <c:extLst>
            <c:ext xmlns:c16="http://schemas.microsoft.com/office/drawing/2014/chart" uri="{C3380CC4-5D6E-409C-BE32-E72D297353CC}">
              <c16:uniqueId val="{00000000-0594-4253-BCF2-CDE0682DC28F}"/>
            </c:ext>
          </c:extLst>
        </c:ser>
        <c:ser>
          <c:idx val="1"/>
          <c:order val="1"/>
          <c:tx>
            <c:strRef>
              <c:f>ANALYSIS1!$H$3</c:f>
              <c:strCache>
                <c:ptCount val="1"/>
                <c:pt idx="0">
                  <c:v>Average of Variance_Percent</c:v>
                </c:pt>
              </c:strCache>
            </c:strRef>
          </c:tx>
          <c:spPr>
            <a:solidFill>
              <a:schemeClr val="accent2"/>
            </a:solidFill>
            <a:ln>
              <a:noFill/>
            </a:ln>
            <a:effectLst/>
          </c:spPr>
          <c:invertIfNegative val="0"/>
          <c:dPt>
            <c:idx val="3"/>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6-0594-4253-BCF2-CDE0682DC28F}"/>
              </c:ext>
            </c:extLst>
          </c:dPt>
          <c:cat>
            <c:strRef>
              <c:f>ANALYSIS1!$F$4:$F$12</c:f>
              <c:strCache>
                <c:ptCount val="8"/>
                <c:pt idx="0">
                  <c:v>Operations</c:v>
                </c:pt>
                <c:pt idx="1">
                  <c:v>Finance</c:v>
                </c:pt>
                <c:pt idx="2">
                  <c:v>Customer Success</c:v>
                </c:pt>
                <c:pt idx="3">
                  <c:v>HR</c:v>
                </c:pt>
                <c:pt idx="4">
                  <c:v>Product</c:v>
                </c:pt>
                <c:pt idx="5">
                  <c:v>Marketing</c:v>
                </c:pt>
                <c:pt idx="6">
                  <c:v>Sales</c:v>
                </c:pt>
                <c:pt idx="7">
                  <c:v>Engineering</c:v>
                </c:pt>
              </c:strCache>
            </c:strRef>
          </c:cat>
          <c:val>
            <c:numRef>
              <c:f>ANALYSIS1!$H$4:$H$12</c:f>
              <c:numCache>
                <c:formatCode>0%</c:formatCode>
                <c:ptCount val="8"/>
                <c:pt idx="0">
                  <c:v>1.3</c:v>
                </c:pt>
                <c:pt idx="1">
                  <c:v>-1.7249999999999999</c:v>
                </c:pt>
                <c:pt idx="2">
                  <c:v>-13.925000000000002</c:v>
                </c:pt>
                <c:pt idx="3">
                  <c:v>-6.6749999999999998</c:v>
                </c:pt>
                <c:pt idx="4">
                  <c:v>-12.358333333333334</c:v>
                </c:pt>
                <c:pt idx="5">
                  <c:v>-7.2266666666666675</c:v>
                </c:pt>
                <c:pt idx="6">
                  <c:v>-9.1999999999999993</c:v>
                </c:pt>
                <c:pt idx="7">
                  <c:v>-2.2599999999999998</c:v>
                </c:pt>
              </c:numCache>
            </c:numRef>
          </c:val>
          <c:extLst>
            <c:ext xmlns:c16="http://schemas.microsoft.com/office/drawing/2014/chart" uri="{C3380CC4-5D6E-409C-BE32-E72D297353CC}">
              <c16:uniqueId val="{00000001-0594-4253-BCF2-CDE0682DC28F}"/>
            </c:ext>
          </c:extLst>
        </c:ser>
        <c:dLbls>
          <c:showLegendKey val="0"/>
          <c:showVal val="0"/>
          <c:showCatName val="0"/>
          <c:showSerName val="0"/>
          <c:showPercent val="0"/>
          <c:showBubbleSize val="0"/>
        </c:dLbls>
        <c:gapWidth val="150"/>
        <c:overlap val="100"/>
        <c:axId val="256599280"/>
        <c:axId val="344832720"/>
      </c:barChart>
      <c:catAx>
        <c:axId val="256599280"/>
        <c:scaling>
          <c:orientation val="minMax"/>
        </c:scaling>
        <c:delete val="0"/>
        <c:axPos val="l"/>
        <c:numFmt formatCode="General" sourceLinked="1"/>
        <c:majorTickMark val="out"/>
        <c:minorTickMark val="none"/>
        <c:tickLblPos val="nextTo"/>
        <c:spPr>
          <a:solidFill>
            <a:schemeClr val="accent6">
              <a:lumMod val="50000"/>
              <a:alpha val="52000"/>
            </a:schemeClr>
          </a:solid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344832720"/>
        <c:crosses val="autoZero"/>
        <c:auto val="1"/>
        <c:lblAlgn val="ctr"/>
        <c:lblOffset val="100"/>
        <c:noMultiLvlLbl val="0"/>
      </c:catAx>
      <c:valAx>
        <c:axId val="34483272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5659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lt1">
          <a:shade val="50000"/>
          <a:alpha val="71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 Analysis.xlsx]ANALYSIS2!PivotTable3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a:latin typeface="Calibri" panose="020F0502020204030204" pitchFamily="34" charset="0"/>
                <a:ea typeface="Calibri" panose="020F0502020204030204" pitchFamily="34" charset="0"/>
                <a:cs typeface="Calibri" panose="020F0502020204030204" pitchFamily="34" charset="0"/>
              </a:rPr>
              <a:t>Headcount</a:t>
            </a:r>
            <a:r>
              <a:rPr lang="en-US" baseline="0">
                <a:latin typeface="Calibri" panose="020F0502020204030204" pitchFamily="34" charset="0"/>
                <a:ea typeface="Calibri" panose="020F0502020204030204" pitchFamily="34" charset="0"/>
                <a:cs typeface="Calibri" panose="020F0502020204030204" pitchFamily="34" charset="0"/>
              </a:rPr>
              <a:t> vs Spend Analysis</a:t>
            </a:r>
            <a:endParaRPr lang="en-US">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6">
              <a:lumMod val="75000"/>
            </a:schemeClr>
          </a:solidFill>
          <a:ln>
            <a:noFill/>
          </a:ln>
          <a:effectLst/>
        </c:spPr>
        <c:marker>
          <c:symbol val="none"/>
        </c:marker>
      </c:pivotFmt>
      <c:pivotFmt>
        <c:idx val="5"/>
        <c:spPr>
          <a:solidFill>
            <a:schemeClr val="accent6">
              <a:lumMod val="60000"/>
              <a:lumOff val="40000"/>
            </a:schemeClr>
          </a:solidFill>
          <a:ln>
            <a:noFill/>
          </a:ln>
          <a:effectLst/>
        </c:spPr>
        <c:marker>
          <c:symbol val="none"/>
        </c:marker>
      </c:pivotFmt>
    </c:pivotFmts>
    <c:plotArea>
      <c:layout>
        <c:manualLayout>
          <c:layoutTarget val="inner"/>
          <c:xMode val="edge"/>
          <c:yMode val="edge"/>
          <c:x val="6.9751727679944614E-2"/>
          <c:y val="0.128530920427433"/>
          <c:w val="0.71181473565804287"/>
          <c:h val="0.753986098187303"/>
        </c:manualLayout>
      </c:layout>
      <c:barChart>
        <c:barDir val="col"/>
        <c:grouping val="clustered"/>
        <c:varyColors val="0"/>
        <c:ser>
          <c:idx val="0"/>
          <c:order val="0"/>
          <c:tx>
            <c:strRef>
              <c:f>ANALYSIS2!$B$3</c:f>
              <c:strCache>
                <c:ptCount val="1"/>
                <c:pt idx="0">
                  <c:v>Sum of Headcount</c:v>
                </c:pt>
              </c:strCache>
            </c:strRef>
          </c:tx>
          <c:spPr>
            <a:solidFill>
              <a:schemeClr val="accent6">
                <a:lumMod val="75000"/>
              </a:schemeClr>
            </a:solidFill>
            <a:ln>
              <a:noFill/>
            </a:ln>
            <a:effectLst/>
          </c:spPr>
          <c:invertIfNegative val="0"/>
          <c:cat>
            <c:strRef>
              <c:f>ANALYSIS2!$A$4:$A$12</c:f>
              <c:strCache>
                <c:ptCount val="8"/>
                <c:pt idx="0">
                  <c:v>Marketing</c:v>
                </c:pt>
                <c:pt idx="1">
                  <c:v>Finance</c:v>
                </c:pt>
                <c:pt idx="2">
                  <c:v>HR</c:v>
                </c:pt>
                <c:pt idx="3">
                  <c:v>Sales</c:v>
                </c:pt>
                <c:pt idx="4">
                  <c:v>Product</c:v>
                </c:pt>
                <c:pt idx="5">
                  <c:v>Engineering</c:v>
                </c:pt>
                <c:pt idx="6">
                  <c:v>Operations</c:v>
                </c:pt>
                <c:pt idx="7">
                  <c:v>Customer Success</c:v>
                </c:pt>
              </c:strCache>
            </c:strRef>
          </c:cat>
          <c:val>
            <c:numRef>
              <c:f>ANALYSIS2!$B$4:$B$12</c:f>
              <c:numCache>
                <c:formatCode>0</c:formatCode>
                <c:ptCount val="8"/>
                <c:pt idx="0">
                  <c:v>390</c:v>
                </c:pt>
                <c:pt idx="1">
                  <c:v>148</c:v>
                </c:pt>
                <c:pt idx="2">
                  <c:v>108</c:v>
                </c:pt>
                <c:pt idx="3">
                  <c:v>710</c:v>
                </c:pt>
                <c:pt idx="4">
                  <c:v>436</c:v>
                </c:pt>
                <c:pt idx="5">
                  <c:v>1925</c:v>
                </c:pt>
                <c:pt idx="6">
                  <c:v>305</c:v>
                </c:pt>
                <c:pt idx="7">
                  <c:v>372</c:v>
                </c:pt>
              </c:numCache>
            </c:numRef>
          </c:val>
          <c:extLst>
            <c:ext xmlns:c16="http://schemas.microsoft.com/office/drawing/2014/chart" uri="{C3380CC4-5D6E-409C-BE32-E72D297353CC}">
              <c16:uniqueId val="{00000000-E8A4-497F-90E2-4250C79AFE08}"/>
            </c:ext>
          </c:extLst>
        </c:ser>
        <c:ser>
          <c:idx val="1"/>
          <c:order val="1"/>
          <c:tx>
            <c:strRef>
              <c:f>ANALYSIS2!$C$3</c:f>
              <c:strCache>
                <c:ptCount val="1"/>
                <c:pt idx="0">
                  <c:v>Average of Spend_Per_Employee</c:v>
                </c:pt>
              </c:strCache>
            </c:strRef>
          </c:tx>
          <c:spPr>
            <a:solidFill>
              <a:schemeClr val="accent6">
                <a:lumMod val="60000"/>
                <a:lumOff val="40000"/>
              </a:schemeClr>
            </a:solidFill>
            <a:ln>
              <a:noFill/>
            </a:ln>
            <a:effectLst/>
          </c:spPr>
          <c:invertIfNegative val="0"/>
          <c:cat>
            <c:strRef>
              <c:f>ANALYSIS2!$A$4:$A$12</c:f>
              <c:strCache>
                <c:ptCount val="8"/>
                <c:pt idx="0">
                  <c:v>Marketing</c:v>
                </c:pt>
                <c:pt idx="1">
                  <c:v>Finance</c:v>
                </c:pt>
                <c:pt idx="2">
                  <c:v>HR</c:v>
                </c:pt>
                <c:pt idx="3">
                  <c:v>Sales</c:v>
                </c:pt>
                <c:pt idx="4">
                  <c:v>Product</c:v>
                </c:pt>
                <c:pt idx="5">
                  <c:v>Engineering</c:v>
                </c:pt>
                <c:pt idx="6">
                  <c:v>Operations</c:v>
                </c:pt>
                <c:pt idx="7">
                  <c:v>Customer Success</c:v>
                </c:pt>
              </c:strCache>
            </c:strRef>
          </c:cat>
          <c:val>
            <c:numRef>
              <c:f>ANALYSIS2!$C$4:$C$12</c:f>
              <c:numCache>
                <c:formatCode>0</c:formatCode>
                <c:ptCount val="8"/>
                <c:pt idx="0">
                  <c:v>4641.333333333333</c:v>
                </c:pt>
                <c:pt idx="1">
                  <c:v>3770</c:v>
                </c:pt>
                <c:pt idx="2">
                  <c:v>3719.75</c:v>
                </c:pt>
                <c:pt idx="3">
                  <c:v>3111.0666666666666</c:v>
                </c:pt>
                <c:pt idx="4">
                  <c:v>3100.3333333333335</c:v>
                </c:pt>
                <c:pt idx="5">
                  <c:v>2665.7333333333331</c:v>
                </c:pt>
                <c:pt idx="6">
                  <c:v>2296.4</c:v>
                </c:pt>
                <c:pt idx="7">
                  <c:v>1856.5</c:v>
                </c:pt>
              </c:numCache>
            </c:numRef>
          </c:val>
          <c:extLst>
            <c:ext xmlns:c16="http://schemas.microsoft.com/office/drawing/2014/chart" uri="{C3380CC4-5D6E-409C-BE32-E72D297353CC}">
              <c16:uniqueId val="{00000001-E8A4-497F-90E2-4250C79AFE08}"/>
            </c:ext>
          </c:extLst>
        </c:ser>
        <c:dLbls>
          <c:showLegendKey val="0"/>
          <c:showVal val="0"/>
          <c:showCatName val="0"/>
          <c:showSerName val="0"/>
          <c:showPercent val="0"/>
          <c:showBubbleSize val="0"/>
        </c:dLbls>
        <c:gapWidth val="219"/>
        <c:overlap val="-27"/>
        <c:axId val="2125826208"/>
        <c:axId val="354863168"/>
      </c:barChart>
      <c:catAx>
        <c:axId val="212582620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54863168"/>
        <c:crosses val="autoZero"/>
        <c:auto val="1"/>
        <c:lblAlgn val="ctr"/>
        <c:lblOffset val="100"/>
        <c:noMultiLvlLbl val="0"/>
      </c:catAx>
      <c:valAx>
        <c:axId val="3548631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125826208"/>
        <c:crosses val="autoZero"/>
        <c:crossBetween val="between"/>
      </c:valAx>
      <c:spPr>
        <a:noFill/>
        <a:ln>
          <a:noFill/>
        </a:ln>
        <a:effectLst/>
      </c:spPr>
    </c:plotArea>
    <c:legend>
      <c:legendPos val="r"/>
      <c:layout>
        <c:manualLayout>
          <c:xMode val="edge"/>
          <c:yMode val="edge"/>
          <c:x val="0.74564645669291341"/>
          <c:y val="0.33376544611501668"/>
          <c:w val="0.24578211473565803"/>
          <c:h val="0.1788284029932776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lt1">
          <a:shade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104770</xdr:colOff>
      <xdr:row>12</xdr:row>
      <xdr:rowOff>66675</xdr:rowOff>
    </xdr:from>
    <xdr:to>
      <xdr:col>1</xdr:col>
      <xdr:colOff>1204913</xdr:colOff>
      <xdr:row>21</xdr:row>
      <xdr:rowOff>138113</xdr:rowOff>
    </xdr:to>
    <xdr:sp macro="" textlink="">
      <xdr:nvSpPr>
        <xdr:cNvPr id="2" name="TextBox 1">
          <a:extLst>
            <a:ext uri="{FF2B5EF4-FFF2-40B4-BE49-F238E27FC236}">
              <a16:creationId xmlns:a16="http://schemas.microsoft.com/office/drawing/2014/main" id="{6009C558-13A4-4928-A81A-627FD75560F1}"/>
            </a:ext>
          </a:extLst>
        </xdr:cNvPr>
        <xdr:cNvSpPr txBox="1"/>
      </xdr:nvSpPr>
      <xdr:spPr>
        <a:xfrm rot="10800000" flipV="1">
          <a:off x="104770" y="2009775"/>
          <a:ext cx="2252668" cy="15287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latin typeface="Calibri" panose="020F0502020204030204" pitchFamily="34" charset="0"/>
              <a:ea typeface="Calibri" panose="020F0502020204030204" pitchFamily="34" charset="0"/>
              <a:cs typeface="Calibri" panose="020F0502020204030204" pitchFamily="34" charset="0"/>
            </a:rPr>
            <a:t>TOP</a:t>
          </a:r>
          <a:r>
            <a:rPr lang="en-US" sz="1100" baseline="0">
              <a:solidFill>
                <a:srgbClr val="FF0000"/>
              </a:solidFill>
              <a:latin typeface="Calibri" panose="020F0502020204030204" pitchFamily="34" charset="0"/>
              <a:ea typeface="Calibri" panose="020F0502020204030204" pitchFamily="34" charset="0"/>
              <a:cs typeface="Calibri" panose="020F0502020204030204" pitchFamily="34" charset="0"/>
            </a:rPr>
            <a:t> 3 OVERSPENDING AREAS </a:t>
          </a:r>
          <a:r>
            <a:rPr lang="en-US" sz="1100" baseline="0">
              <a:latin typeface="Calibri" panose="020F0502020204030204" pitchFamily="34" charset="0"/>
              <a:ea typeface="Calibri" panose="020F0502020204030204" pitchFamily="34" charset="0"/>
              <a:cs typeface="Calibri" panose="020F0502020204030204" pitchFamily="34" charset="0"/>
            </a:rPr>
            <a:t>                                                                            1 Engineering                                                                                                     2 Sales                                                                                                            3 Marketing                                                                                                           </a:t>
          </a:r>
          <a:r>
            <a:rPr lang="en-US" sz="1100" baseline="0">
              <a:solidFill>
                <a:schemeClr val="accent4">
                  <a:lumMod val="75000"/>
                </a:schemeClr>
              </a:solidFill>
              <a:latin typeface="Calibri" panose="020F0502020204030204" pitchFamily="34" charset="0"/>
              <a:ea typeface="Calibri" panose="020F0502020204030204" pitchFamily="34" charset="0"/>
              <a:cs typeface="Calibri" panose="020F0502020204030204" pitchFamily="34" charset="0"/>
            </a:rPr>
            <a:t>TOP 3 UNDERSPENDING AREAS</a:t>
          </a:r>
          <a:r>
            <a:rPr lang="en-US" sz="1100" baseline="0">
              <a:latin typeface="Calibri" panose="020F0502020204030204" pitchFamily="34" charset="0"/>
              <a:ea typeface="Calibri" panose="020F0502020204030204" pitchFamily="34" charset="0"/>
              <a:cs typeface="Calibri" panose="020F0502020204030204" pitchFamily="34" charset="0"/>
            </a:rPr>
            <a:t>                                                                 1 Operations                                                                                               2 Finance                                                                                                                3 Customer Success                                                             </a:t>
          </a:r>
          <a:endParaRPr lang="en-US" sz="11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447674</xdr:colOff>
      <xdr:row>12</xdr:row>
      <xdr:rowOff>104774</xdr:rowOff>
    </xdr:from>
    <xdr:to>
      <xdr:col>7</xdr:col>
      <xdr:colOff>1819274</xdr:colOff>
      <xdr:row>22</xdr:row>
      <xdr:rowOff>15874</xdr:rowOff>
    </xdr:to>
    <xdr:sp macro="" textlink="">
      <xdr:nvSpPr>
        <xdr:cNvPr id="3" name="TextBox 2">
          <a:extLst>
            <a:ext uri="{FF2B5EF4-FFF2-40B4-BE49-F238E27FC236}">
              <a16:creationId xmlns:a16="http://schemas.microsoft.com/office/drawing/2014/main" id="{6713DEE1-35E1-4862-899A-18C4CA46283D}"/>
            </a:ext>
          </a:extLst>
        </xdr:cNvPr>
        <xdr:cNvSpPr txBox="1"/>
      </xdr:nvSpPr>
      <xdr:spPr>
        <a:xfrm rot="10800000" flipH="1" flipV="1">
          <a:off x="6559550" y="2099733"/>
          <a:ext cx="3043766" cy="15515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Based</a:t>
          </a:r>
          <a:r>
            <a:rPr lang="en-US" sz="1100" baseline="0"/>
            <a:t> on the Variance Analysis Pivottable,only one department (OPERATIONS) has a positive variance. </a:t>
          </a:r>
        </a:p>
        <a:p>
          <a:r>
            <a:rPr lang="en-US" sz="1100" baseline="0"/>
            <a:t>                                                       Departments with the highest negative variance are;                                                    1 Engineering                                                                                                     2 Sales                                                                                                          3 Marketing</a:t>
          </a:r>
          <a:endParaRPr lang="en-US" sz="1100"/>
        </a:p>
      </xdr:txBody>
    </xdr:sp>
    <xdr:clientData/>
  </xdr:twoCellAnchor>
  <xdr:twoCellAnchor>
    <xdr:from>
      <xdr:col>5</xdr:col>
      <xdr:colOff>534460</xdr:colOff>
      <xdr:row>35</xdr:row>
      <xdr:rowOff>37040</xdr:rowOff>
    </xdr:from>
    <xdr:to>
      <xdr:col>12</xdr:col>
      <xdr:colOff>349250</xdr:colOff>
      <xdr:row>47</xdr:row>
      <xdr:rowOff>21165</xdr:rowOff>
    </xdr:to>
    <xdr:graphicFrame macro="">
      <xdr:nvGraphicFramePr>
        <xdr:cNvPr id="5" name="Chart 4">
          <a:extLst>
            <a:ext uri="{FF2B5EF4-FFF2-40B4-BE49-F238E27FC236}">
              <a16:creationId xmlns:a16="http://schemas.microsoft.com/office/drawing/2014/main" id="{B5E89EDB-B46F-4FA9-BCE9-765F7BBBCC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1000125</xdr:colOff>
      <xdr:row>34</xdr:row>
      <xdr:rowOff>148166</xdr:rowOff>
    </xdr:from>
    <xdr:to>
      <xdr:col>5</xdr:col>
      <xdr:colOff>174625</xdr:colOff>
      <xdr:row>45</xdr:row>
      <xdr:rowOff>158749</xdr:rowOff>
    </xdr:to>
    <xdr:sp macro="" textlink="">
      <xdr:nvSpPr>
        <xdr:cNvPr id="6" name="TextBox 5">
          <a:extLst>
            <a:ext uri="{FF2B5EF4-FFF2-40B4-BE49-F238E27FC236}">
              <a16:creationId xmlns:a16="http://schemas.microsoft.com/office/drawing/2014/main" id="{4FCB6F77-B9ED-47A8-836A-089338A9A5DF}"/>
            </a:ext>
          </a:extLst>
        </xdr:cNvPr>
        <xdr:cNvSpPr txBox="1"/>
      </xdr:nvSpPr>
      <xdr:spPr>
        <a:xfrm>
          <a:off x="1000125" y="5725583"/>
          <a:ext cx="4132792" cy="18150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a:t>
          </a:r>
          <a:r>
            <a:rPr lang="en-US" sz="1100" baseline="0"/>
            <a:t> line chart shows the monthly actual spend for HR and Finance. HR shows slightly increase in Jan and Mar,and a small decline in Feb indicating  minor fluctuations.                          </a:t>
          </a:r>
        </a:p>
        <a:p>
          <a:endParaRPr lang="en-US" sz="1100" baseline="0"/>
        </a:p>
        <a:p>
          <a:r>
            <a:rPr lang="en-US" sz="1100" baseline="0"/>
            <a:t>Finance spending is more stable with only a small upward movement in March. </a:t>
          </a:r>
        </a:p>
        <a:p>
          <a:r>
            <a:rPr lang="en-US" sz="1100" baseline="0"/>
            <a:t>                                                                                            Overall,both departments display consistent spending patterns with no major spikes or drops, suggesting steady operational activity throuhgout the period.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109538</xdr:colOff>
      <xdr:row>12</xdr:row>
      <xdr:rowOff>157163</xdr:rowOff>
    </xdr:from>
    <xdr:to>
      <xdr:col>2</xdr:col>
      <xdr:colOff>2143125</xdr:colOff>
      <xdr:row>28</xdr:row>
      <xdr:rowOff>80963</xdr:rowOff>
    </xdr:to>
    <xdr:sp macro="" textlink="">
      <xdr:nvSpPr>
        <xdr:cNvPr id="2" name="TextBox 1">
          <a:extLst>
            <a:ext uri="{FF2B5EF4-FFF2-40B4-BE49-F238E27FC236}">
              <a16:creationId xmlns:a16="http://schemas.microsoft.com/office/drawing/2014/main" id="{D9057780-CC45-4CAC-8C4A-9B4B2179834E}"/>
            </a:ext>
          </a:extLst>
        </xdr:cNvPr>
        <xdr:cNvSpPr txBox="1"/>
      </xdr:nvSpPr>
      <xdr:spPr>
        <a:xfrm>
          <a:off x="109538" y="2100263"/>
          <a:ext cx="4414837" cy="2514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Headcount</a:t>
          </a:r>
          <a:r>
            <a:rPr lang="en-US" sz="1100" b="1" baseline="0"/>
            <a:t> vs Spend Analysis.</a:t>
          </a:r>
        </a:p>
        <a:p>
          <a:r>
            <a:rPr lang="en-US" sz="1100" b="0" baseline="0"/>
            <a:t>- The relationship between headcount and spend per employee shows an inverse trend.Departments with higher headcount generally record lower average spend per employee,while departments with lower headcount tend to have higher spending per employee.</a:t>
          </a:r>
        </a:p>
        <a:p>
          <a:r>
            <a:rPr lang="en-US" sz="1100" b="0" baseline="0"/>
            <a:t>- The overall average spend per employee across all departments is 3149.</a:t>
          </a:r>
        </a:p>
        <a:p>
          <a:r>
            <a:rPr lang="en-US" sz="1100" b="0" baseline="0"/>
            <a:t>- Marketing,Finance,and HR record higher than average spend per employee, indicating more cost-intensive or specialized roles.</a:t>
          </a:r>
        </a:p>
        <a:p>
          <a:r>
            <a:rPr lang="en-US" sz="1100" b="0" baseline="0"/>
            <a:t>- Sales,Product,Engineering,Operations,and Customer Success  have lower than average spend per employee,suggesting more cost-efficient staffing.</a:t>
          </a:r>
        </a:p>
        <a:p>
          <a:endParaRPr lang="en-US" sz="1100" b="1"/>
        </a:p>
      </xdr:txBody>
    </xdr:sp>
    <xdr:clientData/>
  </xdr:twoCellAnchor>
  <xdr:twoCellAnchor>
    <xdr:from>
      <xdr:col>4</xdr:col>
      <xdr:colOff>547688</xdr:colOff>
      <xdr:row>12</xdr:row>
      <xdr:rowOff>95251</xdr:rowOff>
    </xdr:from>
    <xdr:to>
      <xdr:col>7</xdr:col>
      <xdr:colOff>1462087</xdr:colOff>
      <xdr:row>30</xdr:row>
      <xdr:rowOff>33337</xdr:rowOff>
    </xdr:to>
    <xdr:graphicFrame macro="">
      <xdr:nvGraphicFramePr>
        <xdr:cNvPr id="3" name="Chart 2">
          <a:extLst>
            <a:ext uri="{FF2B5EF4-FFF2-40B4-BE49-F238E27FC236}">
              <a16:creationId xmlns:a16="http://schemas.microsoft.com/office/drawing/2014/main" id="{69776F8B-AD9D-4DE0-8D21-76A3B0CC1F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633413</xdr:colOff>
      <xdr:row>31</xdr:row>
      <xdr:rowOff>23813</xdr:rowOff>
    </xdr:from>
    <xdr:to>
      <xdr:col>7</xdr:col>
      <xdr:colOff>1452562</xdr:colOff>
      <xdr:row>37</xdr:row>
      <xdr:rowOff>119062</xdr:rowOff>
    </xdr:to>
    <xdr:sp macro="" textlink="">
      <xdr:nvSpPr>
        <xdr:cNvPr id="4" name="TextBox 3">
          <a:extLst>
            <a:ext uri="{FF2B5EF4-FFF2-40B4-BE49-F238E27FC236}">
              <a16:creationId xmlns:a16="http://schemas.microsoft.com/office/drawing/2014/main" id="{6EE4C112-5D00-44A6-B81A-39759BEFF095}"/>
            </a:ext>
          </a:extLst>
        </xdr:cNvPr>
        <xdr:cNvSpPr txBox="1"/>
      </xdr:nvSpPr>
      <xdr:spPr>
        <a:xfrm>
          <a:off x="5824538" y="5043488"/>
          <a:ext cx="4186237" cy="10667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a:solidFill>
                <a:srgbClr val="C00000"/>
              </a:solidFill>
            </a:rPr>
            <a:t>Personnel</a:t>
          </a:r>
          <a:r>
            <a:rPr lang="en-US" sz="1100"/>
            <a:t> accounts for</a:t>
          </a:r>
          <a:r>
            <a:rPr lang="en-US" sz="1100" baseline="0"/>
            <a:t> the highest proportion of total spend,making it the primary cost driver.Technology and Advertising categories also represent significant portions of spending.</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319089</xdr:colOff>
      <xdr:row>0</xdr:row>
      <xdr:rowOff>85725</xdr:rowOff>
    </xdr:from>
    <xdr:to>
      <xdr:col>16</xdr:col>
      <xdr:colOff>471489</xdr:colOff>
      <xdr:row>30</xdr:row>
      <xdr:rowOff>85725</xdr:rowOff>
    </xdr:to>
    <xdr:sp macro="" textlink="">
      <xdr:nvSpPr>
        <xdr:cNvPr id="2" name="TextBox 1">
          <a:extLst>
            <a:ext uri="{FF2B5EF4-FFF2-40B4-BE49-F238E27FC236}">
              <a16:creationId xmlns:a16="http://schemas.microsoft.com/office/drawing/2014/main" id="{96D7562C-0650-4E2A-A689-55C30FC8A263}"/>
            </a:ext>
          </a:extLst>
        </xdr:cNvPr>
        <xdr:cNvSpPr txBox="1"/>
      </xdr:nvSpPr>
      <xdr:spPr>
        <a:xfrm>
          <a:off x="319089" y="85725"/>
          <a:ext cx="10515600" cy="4857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r>
            <a:rPr lang="en-US" sz="1400" b="1">
              <a:latin typeface="Calibri" panose="020F0502020204030204" pitchFamily="34" charset="0"/>
              <a:ea typeface="Calibri" panose="020F0502020204030204" pitchFamily="34" charset="0"/>
              <a:cs typeface="Calibri" panose="020F0502020204030204" pitchFamily="34" charset="0"/>
            </a:rPr>
            <a:t>                                                               INSIGHTS</a:t>
          </a:r>
          <a:r>
            <a:rPr lang="en-US" sz="1400" b="1" baseline="0">
              <a:latin typeface="Calibri" panose="020F0502020204030204" pitchFamily="34" charset="0"/>
              <a:ea typeface="Calibri" panose="020F0502020204030204" pitchFamily="34" charset="0"/>
              <a:cs typeface="Calibri" panose="020F0502020204030204" pitchFamily="34" charset="0"/>
            </a:rPr>
            <a:t> AND RECOMMENDATIONS</a:t>
          </a:r>
        </a:p>
        <a:p>
          <a:r>
            <a:rPr lang="en-US" sz="1100"/>
            <a:t>1.</a:t>
          </a:r>
          <a:r>
            <a:rPr lang="en-US" sz="1100" baseline="0"/>
            <a:t> Most departments exceeded their budgets, with only one department achieving a positive variance .</a:t>
          </a:r>
        </a:p>
        <a:p>
          <a:r>
            <a:rPr lang="en-US" sz="1100" baseline="0"/>
            <a:t>2. Spending trends are generally stable across months.</a:t>
          </a:r>
        </a:p>
        <a:p>
          <a:r>
            <a:rPr lang="en-US" sz="1100" baseline="0"/>
            <a:t>3. One major category dominates total spending.</a:t>
          </a:r>
        </a:p>
        <a:p>
          <a:endParaRPr lang="en-US" sz="1100" baseline="0"/>
        </a:p>
        <a:p>
          <a:endParaRPr lang="en-US" sz="1100" baseline="0"/>
        </a:p>
        <a:p>
          <a:endParaRPr lang="en-US" sz="1100" baseline="0"/>
        </a:p>
        <a:p>
          <a:r>
            <a:rPr lang="en-US" sz="1200" b="1" baseline="0"/>
            <a:t>                                                                RECOMMENDATIONS</a:t>
          </a:r>
        </a:p>
        <a:p>
          <a:r>
            <a:rPr lang="en-US" sz="1200" b="0" baseline="0"/>
            <a:t>1. Management should introduce tighter budget controls in high-variance departments.</a:t>
          </a:r>
        </a:p>
        <a:p>
          <a:r>
            <a:rPr lang="en-US" sz="1200" b="0" baseline="0"/>
            <a:t>2. Review and optimize major cost categories.</a:t>
          </a:r>
        </a:p>
        <a:p>
          <a:r>
            <a:rPr lang="en-US" sz="1200" b="0" baseline="0"/>
            <a:t>3. Set cost-efficiency benchmarks across departments.</a:t>
          </a:r>
        </a:p>
        <a:p>
          <a:endParaRPr lang="en-US" sz="12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87314</xdr:colOff>
      <xdr:row>0</xdr:row>
      <xdr:rowOff>1</xdr:rowOff>
    </xdr:from>
    <xdr:to>
      <xdr:col>34</xdr:col>
      <xdr:colOff>341314</xdr:colOff>
      <xdr:row>76</xdr:row>
      <xdr:rowOff>7939</xdr:rowOff>
    </xdr:to>
    <xdr:sp macro="" textlink="">
      <xdr:nvSpPr>
        <xdr:cNvPr id="17" name="Rectangle 16">
          <a:extLst>
            <a:ext uri="{FF2B5EF4-FFF2-40B4-BE49-F238E27FC236}">
              <a16:creationId xmlns:a16="http://schemas.microsoft.com/office/drawing/2014/main" id="{1CFDBBF9-B2D5-471C-AD2D-C4D32E4031D8}"/>
            </a:ext>
          </a:extLst>
        </xdr:cNvPr>
        <xdr:cNvSpPr/>
      </xdr:nvSpPr>
      <xdr:spPr>
        <a:xfrm>
          <a:off x="87314" y="1"/>
          <a:ext cx="22383750" cy="12072938"/>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12,447,000</a:t>
          </a:r>
        </a:p>
      </xdr:txBody>
    </xdr:sp>
    <xdr:clientData/>
  </xdr:twoCellAnchor>
  <xdr:twoCellAnchor>
    <xdr:from>
      <xdr:col>6</xdr:col>
      <xdr:colOff>103189</xdr:colOff>
      <xdr:row>17</xdr:row>
      <xdr:rowOff>2666</xdr:rowOff>
    </xdr:from>
    <xdr:to>
      <xdr:col>19</xdr:col>
      <xdr:colOff>214314</xdr:colOff>
      <xdr:row>42</xdr:row>
      <xdr:rowOff>99217</xdr:rowOff>
    </xdr:to>
    <xdr:graphicFrame macro="">
      <xdr:nvGraphicFramePr>
        <xdr:cNvPr id="2" name="Chart 1">
          <a:extLst>
            <a:ext uri="{FF2B5EF4-FFF2-40B4-BE49-F238E27FC236}">
              <a16:creationId xmlns:a16="http://schemas.microsoft.com/office/drawing/2014/main" id="{D15F2E3F-61F0-4222-A3F7-E265C60AC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79376</xdr:colOff>
      <xdr:row>43</xdr:row>
      <xdr:rowOff>51270</xdr:rowOff>
    </xdr:from>
    <xdr:to>
      <xdr:col>21</xdr:col>
      <xdr:colOff>476252</xdr:colOff>
      <xdr:row>73</xdr:row>
      <xdr:rowOff>134938</xdr:rowOff>
    </xdr:to>
    <xdr:graphicFrame macro="">
      <xdr:nvGraphicFramePr>
        <xdr:cNvPr id="3" name="Chart 2">
          <a:extLst>
            <a:ext uri="{FF2B5EF4-FFF2-40B4-BE49-F238E27FC236}">
              <a16:creationId xmlns:a16="http://schemas.microsoft.com/office/drawing/2014/main" id="{660B6513-BEE6-46F5-BF0B-F0EA01A1AA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420688</xdr:colOff>
      <xdr:row>17</xdr:row>
      <xdr:rowOff>7370</xdr:rowOff>
    </xdr:from>
    <xdr:to>
      <xdr:col>33</xdr:col>
      <xdr:colOff>198438</xdr:colOff>
      <xdr:row>42</xdr:row>
      <xdr:rowOff>81546</xdr:rowOff>
    </xdr:to>
    <xdr:graphicFrame macro="">
      <xdr:nvGraphicFramePr>
        <xdr:cNvPr id="4" name="Chart 3">
          <a:extLst>
            <a:ext uri="{FF2B5EF4-FFF2-40B4-BE49-F238E27FC236}">
              <a16:creationId xmlns:a16="http://schemas.microsoft.com/office/drawing/2014/main" id="{ECDDDC37-053B-45E2-B3EA-73E49C1A9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222250</xdr:colOff>
      <xdr:row>0</xdr:row>
      <xdr:rowOff>103189</xdr:rowOff>
    </xdr:from>
    <xdr:to>
      <xdr:col>24</xdr:col>
      <xdr:colOff>285747</xdr:colOff>
      <xdr:row>4</xdr:row>
      <xdr:rowOff>144010</xdr:rowOff>
    </xdr:to>
    <xdr:sp macro="" textlink="">
      <xdr:nvSpPr>
        <xdr:cNvPr id="5" name="TextBox 4">
          <a:extLst>
            <a:ext uri="{FF2B5EF4-FFF2-40B4-BE49-F238E27FC236}">
              <a16:creationId xmlns:a16="http://schemas.microsoft.com/office/drawing/2014/main" id="{D5D25B4E-C656-4E27-9787-C66A799FE1CF}"/>
            </a:ext>
          </a:extLst>
        </xdr:cNvPr>
        <xdr:cNvSpPr txBox="1"/>
      </xdr:nvSpPr>
      <xdr:spPr>
        <a:xfrm flipH="1">
          <a:off x="6080125" y="103189"/>
          <a:ext cx="9826622" cy="675821"/>
        </a:xfrm>
        <a:prstGeom prst="rect">
          <a:avLst/>
        </a:prstGeom>
        <a:solidFill>
          <a:schemeClr val="accent6">
            <a:lumMod val="75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US" sz="2400">
              <a:solidFill>
                <a:schemeClr val="bg1"/>
              </a:solidFill>
            </a:rPr>
            <a:t>            </a:t>
          </a:r>
          <a:r>
            <a:rPr lang="en-US" sz="3600">
              <a:solidFill>
                <a:schemeClr val="tx1"/>
              </a:solidFill>
              <a:latin typeface="Calibri" panose="020F0502020204030204" pitchFamily="34" charset="0"/>
              <a:ea typeface="Calibri" panose="020F0502020204030204" pitchFamily="34" charset="0"/>
              <a:cs typeface="Calibri" panose="020F0502020204030204" pitchFamily="34" charset="0"/>
            </a:rPr>
            <a:t>BUDGET</a:t>
          </a:r>
          <a:r>
            <a:rPr lang="en-US" sz="3600" baseline="0">
              <a:solidFill>
                <a:schemeClr val="tx1"/>
              </a:solidFill>
              <a:latin typeface="Calibri" panose="020F0502020204030204" pitchFamily="34" charset="0"/>
              <a:ea typeface="Calibri" panose="020F0502020204030204" pitchFamily="34" charset="0"/>
              <a:cs typeface="Calibri" panose="020F0502020204030204" pitchFamily="34" charset="0"/>
            </a:rPr>
            <a:t> PERFORMANCE DASHBOARD</a:t>
          </a:r>
          <a:r>
            <a:rPr lang="en-US" sz="3200" baseline="0">
              <a:solidFill>
                <a:schemeClr val="tx1"/>
              </a:solidFill>
              <a:latin typeface="Calibri" panose="020F0502020204030204" pitchFamily="34" charset="0"/>
              <a:ea typeface="Calibri" panose="020F0502020204030204" pitchFamily="34" charset="0"/>
              <a:cs typeface="Calibri" panose="020F0502020204030204" pitchFamily="34" charset="0"/>
            </a:rPr>
            <a:t>  </a:t>
          </a:r>
          <a:endParaRPr lang="en-US" sz="32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22</xdr:col>
      <xdr:colOff>23813</xdr:colOff>
      <xdr:row>43</xdr:row>
      <xdr:rowOff>39688</xdr:rowOff>
    </xdr:from>
    <xdr:to>
      <xdr:col>33</xdr:col>
      <xdr:colOff>198438</xdr:colOff>
      <xdr:row>74</xdr:row>
      <xdr:rowOff>55563</xdr:rowOff>
    </xdr:to>
    <xdr:sp macro="" textlink="">
      <xdr:nvSpPr>
        <xdr:cNvPr id="8" name="TextBox 7">
          <a:extLst>
            <a:ext uri="{FF2B5EF4-FFF2-40B4-BE49-F238E27FC236}">
              <a16:creationId xmlns:a16="http://schemas.microsoft.com/office/drawing/2014/main" id="{947B358F-3D43-4DA4-8D18-DBF5DB6C4C00}"/>
            </a:ext>
          </a:extLst>
        </xdr:cNvPr>
        <xdr:cNvSpPr txBox="1"/>
      </xdr:nvSpPr>
      <xdr:spPr>
        <a:xfrm>
          <a:off x="14343063" y="6865938"/>
          <a:ext cx="7334250" cy="4937125"/>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3"/>
          <a:endParaRPr lang="en-US" sz="1600" b="1"/>
        </a:p>
        <a:p>
          <a:pPr lvl="3"/>
          <a:r>
            <a:rPr lang="en-US" sz="1600" b="1"/>
            <a:t>DEPARTMENT/CATEGORY</a:t>
          </a:r>
          <a:r>
            <a:rPr lang="en-US" sz="1600" b="1" baseline="0"/>
            <a:t> HIGHLIGHTS</a:t>
          </a:r>
        </a:p>
        <a:p>
          <a:pPr lvl="0"/>
          <a:r>
            <a:rPr lang="en-US" sz="1600" b="0" baseline="0"/>
            <a:t>-- Engineering,Sales,and Marketing are the top overspending departments based on variance analysis.</a:t>
          </a:r>
        </a:p>
        <a:p>
          <a:pPr lvl="0"/>
          <a:r>
            <a:rPr lang="en-US" sz="1600" b="0" baseline="0"/>
            <a:t>-- Operations department demonstrates strong cost control.</a:t>
          </a:r>
        </a:p>
        <a:p>
          <a:pPr lvl="0"/>
          <a:r>
            <a:rPr lang="en-US" sz="1600" b="0" baseline="0"/>
            <a:t>-- Marketing, Finance, and HR have higher-than-average spend per employee.</a:t>
          </a:r>
        </a:p>
        <a:p>
          <a:pPr lvl="0"/>
          <a:r>
            <a:rPr lang="en-US" sz="1600" b="0" baseline="0"/>
            <a:t>-- Sales,Products,Engineering,Operations, and Customer success are the most cost-efficient per employee.</a:t>
          </a:r>
        </a:p>
        <a:p>
          <a:pPr lvl="0"/>
          <a:r>
            <a:rPr lang="en-US" sz="1600" b="0" baseline="0"/>
            <a:t>-- Personnel Category is the largest cost </a:t>
          </a:r>
          <a:r>
            <a:rPr lang="en-US" sz="1600" b="0" baseline="0">
              <a:solidFill>
                <a:schemeClr val="tx1"/>
              </a:solidFill>
            </a:rPr>
            <a:t>driver</a:t>
          </a:r>
          <a:r>
            <a:rPr lang="en-US" sz="1600" b="0" baseline="0"/>
            <a:t> in total spending.</a:t>
          </a:r>
        </a:p>
      </xdr:txBody>
    </xdr:sp>
    <xdr:clientData/>
  </xdr:twoCellAnchor>
  <xdr:twoCellAnchor editAs="oneCell">
    <xdr:from>
      <xdr:col>1</xdr:col>
      <xdr:colOff>198434</xdr:colOff>
      <xdr:row>5</xdr:row>
      <xdr:rowOff>66676</xdr:rowOff>
    </xdr:from>
    <xdr:to>
      <xdr:col>5</xdr:col>
      <xdr:colOff>612454</xdr:colOff>
      <xdr:row>27</xdr:row>
      <xdr:rowOff>150812</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22EFD26F-45D5-4ACD-8CC6-F81EAA03099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49309" y="860426"/>
              <a:ext cx="3017520" cy="35766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150811</xdr:colOff>
      <xdr:row>29</xdr:row>
      <xdr:rowOff>39688</xdr:rowOff>
    </xdr:from>
    <xdr:to>
      <xdr:col>5</xdr:col>
      <xdr:colOff>547687</xdr:colOff>
      <xdr:row>50</xdr:row>
      <xdr:rowOff>63501</xdr:rowOff>
    </xdr:to>
    <mc:AlternateContent xmlns:mc="http://schemas.openxmlformats.org/markup-compatibility/2006" xmlns:a14="http://schemas.microsoft.com/office/drawing/2010/main">
      <mc:Choice Requires="a14">
        <xdr:graphicFrame macro="">
          <xdr:nvGraphicFramePr>
            <xdr:cNvPr id="11" name="Department">
              <a:extLst>
                <a:ext uri="{FF2B5EF4-FFF2-40B4-BE49-F238E27FC236}">
                  <a16:creationId xmlns:a16="http://schemas.microsoft.com/office/drawing/2014/main" id="{74F478DE-B745-4AFE-B7CB-CB1D2B83F12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01686" y="4643438"/>
              <a:ext cx="3000376" cy="33575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95250</xdr:colOff>
      <xdr:row>51</xdr:row>
      <xdr:rowOff>74613</xdr:rowOff>
    </xdr:from>
    <xdr:to>
      <xdr:col>5</xdr:col>
      <xdr:colOff>500063</xdr:colOff>
      <xdr:row>73</xdr:row>
      <xdr:rowOff>119062</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DDC6F353-A794-4DAB-A9DA-39C559EC023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46125" y="8170863"/>
              <a:ext cx="3008313" cy="3536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476250</xdr:colOff>
      <xdr:row>7</xdr:row>
      <xdr:rowOff>119062</xdr:rowOff>
    </xdr:from>
    <xdr:to>
      <xdr:col>13</xdr:col>
      <xdr:colOff>190500</xdr:colOff>
      <xdr:row>15</xdr:row>
      <xdr:rowOff>47625</xdr:rowOff>
    </xdr:to>
    <xdr:sp macro="" textlink="ANALYSIS1!M24">
      <xdr:nvSpPr>
        <xdr:cNvPr id="13" name="Rectangle 12">
          <a:extLst>
            <a:ext uri="{FF2B5EF4-FFF2-40B4-BE49-F238E27FC236}">
              <a16:creationId xmlns:a16="http://schemas.microsoft.com/office/drawing/2014/main" id="{ED7D2097-ACA4-4EAE-BEAD-6BA1E28BDAF0}"/>
            </a:ext>
          </a:extLst>
        </xdr:cNvPr>
        <xdr:cNvSpPr/>
      </xdr:nvSpPr>
      <xdr:spPr>
        <a:xfrm>
          <a:off x="4381500" y="1230312"/>
          <a:ext cx="4270375" cy="1198563"/>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rgbClr val="000000"/>
              </a:solidFill>
              <a:latin typeface="Times New Roman" panose="02020603050405020304" pitchFamily="18" charset="0"/>
              <a:cs typeface="Times New Roman" panose="02020603050405020304" pitchFamily="18" charset="0"/>
            </a:rPr>
            <a:t>                        TOTAL</a:t>
          </a:r>
          <a:r>
            <a:rPr lang="en-US" sz="1800" b="1" i="0" u="none" strike="noStrike" baseline="0">
              <a:solidFill>
                <a:srgbClr val="000000"/>
              </a:solidFill>
              <a:latin typeface="Times New Roman" panose="02020603050405020304" pitchFamily="18" charset="0"/>
              <a:cs typeface="Times New Roman" panose="02020603050405020304" pitchFamily="18" charset="0"/>
            </a:rPr>
            <a:t> BUDGET						          </a:t>
          </a:r>
          <a:fld id="{A0527E9D-4190-4E7B-917C-8B62283B0D95}" type="TxLink">
            <a:rPr lang="en-US" sz="1800" b="1" i="0" u="none" strike="noStrike">
              <a:solidFill>
                <a:srgbClr val="000000"/>
              </a:solidFill>
              <a:latin typeface="Times New Roman" panose="02020603050405020304" pitchFamily="18" charset="0"/>
              <a:cs typeface="Times New Roman" panose="02020603050405020304" pitchFamily="18" charset="0"/>
            </a:rPr>
            <a:pPr algn="l"/>
            <a:t>₦ 12,447,000</a:t>
          </a:fld>
          <a:endParaRPr lang="en-US" sz="1800" b="1">
            <a:latin typeface="Times New Roman" panose="02020603050405020304" pitchFamily="18" charset="0"/>
            <a:cs typeface="Times New Roman" panose="02020603050405020304" pitchFamily="18" charset="0"/>
          </a:endParaRPr>
        </a:p>
      </xdr:txBody>
    </xdr:sp>
    <xdr:clientData/>
  </xdr:twoCellAnchor>
  <xdr:twoCellAnchor>
    <xdr:from>
      <xdr:col>14</xdr:col>
      <xdr:colOff>192088</xdr:colOff>
      <xdr:row>7</xdr:row>
      <xdr:rowOff>136526</xdr:rowOff>
    </xdr:from>
    <xdr:to>
      <xdr:col>20</xdr:col>
      <xdr:colOff>557213</xdr:colOff>
      <xdr:row>15</xdr:row>
      <xdr:rowOff>65089</xdr:rowOff>
    </xdr:to>
    <xdr:sp macro="" textlink="ANALYSIS1!M25">
      <xdr:nvSpPr>
        <xdr:cNvPr id="18" name="Rectangle 17">
          <a:extLst>
            <a:ext uri="{FF2B5EF4-FFF2-40B4-BE49-F238E27FC236}">
              <a16:creationId xmlns:a16="http://schemas.microsoft.com/office/drawing/2014/main" id="{A0647955-AFAC-43B3-96AE-C59ED6E9226D}"/>
            </a:ext>
          </a:extLst>
        </xdr:cNvPr>
        <xdr:cNvSpPr/>
      </xdr:nvSpPr>
      <xdr:spPr>
        <a:xfrm>
          <a:off x="9304338" y="1247776"/>
          <a:ext cx="4270375" cy="1198563"/>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rgbClr val="000000"/>
              </a:solidFill>
              <a:latin typeface="Times New Roman" panose="02020603050405020304" pitchFamily="18" charset="0"/>
              <a:cs typeface="Times New Roman" panose="02020603050405020304" pitchFamily="18" charset="0"/>
            </a:rPr>
            <a:t>                     TOTAL SPEND						         </a:t>
          </a:r>
          <a:fld id="{F717896E-6A7B-4272-ACE3-7C0F2C51AC25}" type="TxLink">
            <a:rPr lang="en-US" sz="1800" b="1" i="0" u="none" strike="noStrike">
              <a:solidFill>
                <a:srgbClr val="000000"/>
              </a:solidFill>
              <a:latin typeface="Times New Roman" panose="02020603050405020304" pitchFamily="18" charset="0"/>
              <a:cs typeface="Times New Roman" panose="02020603050405020304" pitchFamily="18" charset="0"/>
            </a:rPr>
            <a:pPr algn="l"/>
            <a:t>₦ 12,846,700</a:t>
          </a:fld>
          <a:endParaRPr lang="en-US" sz="2400" b="1">
            <a:latin typeface="Times New Roman" panose="02020603050405020304" pitchFamily="18" charset="0"/>
            <a:cs typeface="Times New Roman" panose="02020603050405020304" pitchFamily="18" charset="0"/>
          </a:endParaRPr>
        </a:p>
      </xdr:txBody>
    </xdr:sp>
    <xdr:clientData/>
  </xdr:twoCellAnchor>
  <xdr:twoCellAnchor>
    <xdr:from>
      <xdr:col>21</xdr:col>
      <xdr:colOff>463550</xdr:colOff>
      <xdr:row>8</xdr:row>
      <xdr:rowOff>19051</xdr:rowOff>
    </xdr:from>
    <xdr:to>
      <xdr:col>28</xdr:col>
      <xdr:colOff>177800</xdr:colOff>
      <xdr:row>15</xdr:row>
      <xdr:rowOff>106364</xdr:rowOff>
    </xdr:to>
    <xdr:sp macro="" textlink="ANALYSIS1!M26">
      <xdr:nvSpPr>
        <xdr:cNvPr id="20" name="Rectangle 19">
          <a:extLst>
            <a:ext uri="{FF2B5EF4-FFF2-40B4-BE49-F238E27FC236}">
              <a16:creationId xmlns:a16="http://schemas.microsoft.com/office/drawing/2014/main" id="{78FE5C93-0B1E-4B83-A9BB-4A9CB7C34FDF}"/>
            </a:ext>
          </a:extLst>
        </xdr:cNvPr>
        <xdr:cNvSpPr/>
      </xdr:nvSpPr>
      <xdr:spPr>
        <a:xfrm>
          <a:off x="14131925" y="1289051"/>
          <a:ext cx="4270375" cy="1198563"/>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chemeClr val="tx1"/>
              </a:solidFill>
              <a:latin typeface="Times New Roman" panose="02020603050405020304" pitchFamily="18" charset="0"/>
              <a:cs typeface="Times New Roman" panose="02020603050405020304" pitchFamily="18" charset="0"/>
            </a:rPr>
            <a:t>       OVERALL</a:t>
          </a:r>
          <a:r>
            <a:rPr lang="en-US" sz="1800" b="1" i="0" u="none" strike="noStrike" baseline="0">
              <a:solidFill>
                <a:schemeClr val="tx1"/>
              </a:solidFill>
              <a:latin typeface="Times New Roman" panose="02020603050405020304" pitchFamily="18" charset="0"/>
              <a:cs typeface="Times New Roman" panose="02020603050405020304" pitchFamily="18" charset="0"/>
            </a:rPr>
            <a:t> VARIANCE%						          </a:t>
          </a:r>
          <a:fld id="{9830E6B7-5A19-4E25-9A8D-005231D51C81}" type="TxLink">
            <a:rPr lang="en-US" sz="1800" b="1" i="0" u="none" strike="noStrike">
              <a:solidFill>
                <a:schemeClr val="tx1"/>
              </a:solidFill>
              <a:latin typeface="Times New Roman" panose="02020603050405020304" pitchFamily="18" charset="0"/>
              <a:cs typeface="Times New Roman" panose="02020603050405020304" pitchFamily="18" charset="0"/>
            </a:rPr>
            <a:pPr algn="l"/>
            <a:t>3.21%</a:t>
          </a:fld>
          <a:endParaRPr lang="en-US" sz="4800" b="1">
            <a:solidFill>
              <a:schemeClr val="tx1"/>
            </a:solidFill>
            <a:latin typeface="Times New Roman" panose="02020603050405020304" pitchFamily="18" charset="0"/>
            <a:cs typeface="Times New Roman" panose="02020603050405020304"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185738</xdr:colOff>
      <xdr:row>0</xdr:row>
      <xdr:rowOff>80963</xdr:rowOff>
    </xdr:from>
    <xdr:to>
      <xdr:col>19</xdr:col>
      <xdr:colOff>638175</xdr:colOff>
      <xdr:row>44</xdr:row>
      <xdr:rowOff>109538</xdr:rowOff>
    </xdr:to>
    <xdr:sp macro="" textlink="">
      <xdr:nvSpPr>
        <xdr:cNvPr id="2" name="TextBox 1">
          <a:extLst>
            <a:ext uri="{FF2B5EF4-FFF2-40B4-BE49-F238E27FC236}">
              <a16:creationId xmlns:a16="http://schemas.microsoft.com/office/drawing/2014/main" id="{32229D66-47AF-4738-88F3-12AFED552312}"/>
            </a:ext>
          </a:extLst>
        </xdr:cNvPr>
        <xdr:cNvSpPr txBox="1"/>
      </xdr:nvSpPr>
      <xdr:spPr>
        <a:xfrm>
          <a:off x="185738" y="80963"/>
          <a:ext cx="12758737" cy="7153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EXECUTIVE SUMMARY</a:t>
          </a:r>
        </a:p>
        <a:p>
          <a:r>
            <a:rPr lang="en-US" sz="1100"/>
            <a:t>This</a:t>
          </a:r>
          <a:r>
            <a:rPr lang="en-US" sz="1100" baseline="0"/>
            <a:t> analysis evaluates budgeted versus actual spending to identify cost control gaps, spending efficiency,and maajor cost drivers across departments nd categories.</a:t>
          </a:r>
        </a:p>
        <a:p>
          <a:endParaRPr lang="en-US" sz="1100" baseline="0"/>
        </a:p>
        <a:p>
          <a:r>
            <a:rPr lang="en-US" sz="1100" baseline="0"/>
            <a:t>INTRODUCTION</a:t>
          </a:r>
        </a:p>
        <a:p>
          <a:r>
            <a:rPr lang="en-US" sz="1100" baseline="0"/>
            <a:t>The purpose of this analysis is to help management understand where money is being overspent or saved, and how employee headcount relates to spending efficiency. </a:t>
          </a:r>
        </a:p>
        <a:p>
          <a:endParaRPr lang="en-US" sz="1100" baseline="0"/>
        </a:p>
        <a:p>
          <a:r>
            <a:rPr lang="en-US" sz="1100" baseline="0"/>
            <a:t>DATA OVERVIEW</a:t>
          </a:r>
        </a:p>
        <a:p>
          <a:r>
            <a:rPr lang="en-US" sz="1100" baseline="0"/>
            <a:t>The dataset contains departmentl budget, actual spend, headcount,spend per employee, categories, and monthly transactions used for financial performance analysis.</a:t>
          </a:r>
        </a:p>
        <a:p>
          <a:endParaRPr lang="en-US" sz="1100" baseline="0"/>
        </a:p>
        <a:p>
          <a:r>
            <a:rPr lang="en-US" sz="1100" baseline="0"/>
            <a:t>INSIGHTS AND INTERPRETATION</a:t>
          </a:r>
        </a:p>
        <a:p>
          <a:r>
            <a:rPr lang="en-US" sz="1100" baseline="0"/>
            <a:t>-- Engineering and Sales show the highest overspending.</a:t>
          </a:r>
        </a:p>
        <a:p>
          <a:r>
            <a:rPr lang="en-US" sz="1100" baseline="0"/>
            <a:t>-- Only one department achieved a positive variance, indicating strong cost control.</a:t>
          </a:r>
        </a:p>
        <a:p>
          <a:r>
            <a:rPr lang="en-US" sz="1100" baseline="0"/>
            <a:t>-- Spending trends are stable across months with no major spikes.</a:t>
          </a:r>
        </a:p>
        <a:p>
          <a:r>
            <a:rPr lang="en-US" sz="1100" baseline="0"/>
            <a:t>-- Higher headcount departments generally have lower spend per employee.</a:t>
          </a:r>
        </a:p>
        <a:p>
          <a:r>
            <a:rPr lang="en-US" sz="1100" baseline="0"/>
            <a:t>-- One major category dominates total expenditure.</a:t>
          </a:r>
        </a:p>
        <a:p>
          <a:endParaRPr lang="en-US" sz="1100" baseline="0"/>
        </a:p>
        <a:p>
          <a:r>
            <a:rPr lang="en-US" sz="1100" baseline="0"/>
            <a:t>DASHBOARD</a:t>
          </a:r>
        </a:p>
        <a:p>
          <a:r>
            <a:rPr lang="en-US" sz="1100" baseline="0"/>
            <a:t>The dashboard displays key metrics ( Total Budget, Total Spend, and Overall variance%), and visualizations for Budget vs Actual spend by departments, Headcount vs spend, and Variance by department.</a:t>
          </a:r>
        </a:p>
        <a:p>
          <a:endParaRPr lang="en-US" sz="1100" baseline="0"/>
        </a:p>
        <a:p>
          <a:r>
            <a:rPr lang="en-US" sz="1100" baseline="0"/>
            <a:t>RECOMMENDATIONS</a:t>
          </a:r>
        </a:p>
        <a:p>
          <a:r>
            <a:rPr lang="en-US" sz="1100" baseline="0"/>
            <a:t>-- Strengthen budget controls in high-variance departments.</a:t>
          </a:r>
        </a:p>
        <a:p>
          <a:r>
            <a:rPr lang="en-US" sz="1100" baseline="0"/>
            <a:t>-- Review and renegotiate major cost category expenses.</a:t>
          </a:r>
        </a:p>
        <a:p>
          <a:r>
            <a:rPr lang="en-US" sz="1100" baseline="0"/>
            <a:t>-- Set cost-efficiency benchmarks for all departments.</a:t>
          </a:r>
        </a:p>
        <a:p>
          <a:endParaRPr lang="en-US" sz="1100" baseline="0"/>
        </a:p>
        <a:p>
          <a:r>
            <a:rPr lang="en-US" sz="1100" baseline="0"/>
            <a:t>CONCLUSIONS</a:t>
          </a:r>
        </a:p>
        <a:p>
          <a:r>
            <a:rPr lang="en-US" sz="1100" baseline="0"/>
            <a:t>Overall,the organization can improve financial performance by tightening controls in overspending areas while sustaining efficiency in cost-effective departments.</a:t>
          </a:r>
        </a:p>
        <a:p>
          <a:endParaRPr lang="en-US" sz="1100" baseline="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4.017956134259" createdVersion="6" refreshedVersion="6" minRefreshableVersion="3" recordCount="108" xr:uid="{60C8607A-1897-4F49-B591-9D5F2BD5ABC1}">
  <cacheSource type="worksheet">
    <worksheetSource name="Table1"/>
  </cacheSource>
  <cacheFields count="11">
    <cacheField name="Month" numFmtId="164">
      <sharedItems containsSemiMixedTypes="0" containsNonDate="0" containsDate="1" containsString="0" minDate="2025-01-01T00:00:00" maxDate="2025-03-02T00:00:00" count="3">
        <d v="2025-01-01T00:00:00"/>
        <d v="2025-02-01T00:00:00"/>
        <d v="2025-03-01T00:00:00"/>
      </sharedItems>
      <fieldGroup base="0">
        <rangePr groupBy="months" startDate="2025-01-01T00:00:00" endDate="2025-03-02T00:00:00"/>
        <groupItems count="14">
          <s v="&lt;1/1/2025"/>
          <s v="Jan"/>
          <s v="Feb"/>
          <s v="Mar"/>
          <s v="Apr"/>
          <s v="May"/>
          <s v="Jun"/>
          <s v="Jul"/>
          <s v="Aug"/>
          <s v="Sep"/>
          <s v="Oct"/>
          <s v="Nov"/>
          <s v="Dec"/>
          <s v="&gt;3/2/2025"/>
        </groupItems>
      </fieldGroup>
    </cacheField>
    <cacheField name="Department" numFmtId="0">
      <sharedItems count="8">
        <s v="Engineering"/>
        <s v="Sales"/>
        <s v="Marketing"/>
        <s v="Product"/>
        <s v="Customer Success"/>
        <s v="Finance"/>
        <s v="HR"/>
        <s v="Operations"/>
      </sharedItems>
    </cacheField>
    <cacheField name="Category" numFmtId="0">
      <sharedItems count="8">
        <s v="Personnel"/>
        <s v="Technology"/>
        <s v="Professional Services"/>
        <s v="Travel"/>
        <s v="Operations"/>
        <s v="Marketing"/>
        <s v="Advertising"/>
        <s v="Facilities"/>
      </sharedItems>
    </cacheField>
    <cacheField name="Budget_Annual" numFmtId="165">
      <sharedItems containsSemiMixedTypes="0" containsString="0" containsNumber="1" containsInteger="1" minValue="48000" maxValue="18000000"/>
    </cacheField>
    <cacheField name="Budget_Monthly" numFmtId="165">
      <sharedItems containsSemiMixedTypes="0" containsString="0" containsNumber="1" containsInteger="1" minValue="4000" maxValue="1500000"/>
    </cacheField>
    <cacheField name="Actual_Spend" numFmtId="165">
      <sharedItems containsSemiMixedTypes="0" containsString="0" containsNumber="1" containsInteger="1" minValue="3000" maxValue="1580000"/>
    </cacheField>
    <cacheField name="Variance_Amount" numFmtId="165">
      <sharedItems containsSemiMixedTypes="0" containsString="0" containsNumber="1" containsInteger="1" minValue="-80000" maxValue="5000"/>
    </cacheField>
    <cacheField name="Variance_Percent" numFmtId="166">
      <sharedItems containsSemiMixedTypes="0" containsString="0" containsNumber="1" minValue="-75" maxValue="25"/>
    </cacheField>
    <cacheField name="Headcount" numFmtId="1">
      <sharedItems containsSemiMixedTypes="0" containsString="0" containsNumber="1" containsInteger="1" minValue="8" maxValue="132"/>
    </cacheField>
    <cacheField name="Spend_Per_Employee" numFmtId="2">
      <sharedItems containsSemiMixedTypes="0" containsString="0" containsNumber="1" containsInteger="1" minValue="59" maxValue="13222"/>
    </cacheField>
    <cacheField name="Difference" numFmtId="165">
      <sharedItems containsSemiMixedTypes="0" containsString="0" containsNumber="1" containsInteger="1" minValue="-5000" maxValue="80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x v="0"/>
    <x v="0"/>
    <x v="0"/>
    <n v="18000000"/>
    <n v="1500000"/>
    <n v="1520000"/>
    <n v="-20000"/>
    <n v="-1.3"/>
    <n v="125"/>
    <n v="12160"/>
    <n v="20000"/>
  </r>
  <r>
    <x v="0"/>
    <x v="0"/>
    <x v="1"/>
    <n v="1200000"/>
    <n v="100000"/>
    <n v="95000"/>
    <n v="5000"/>
    <n v="5"/>
    <n v="125"/>
    <n v="760"/>
    <n v="-5000"/>
  </r>
  <r>
    <x v="0"/>
    <x v="0"/>
    <x v="2"/>
    <n v="360000"/>
    <n v="30000"/>
    <n v="45000"/>
    <n v="-15000"/>
    <n v="-50"/>
    <n v="125"/>
    <n v="360"/>
    <n v="15000"/>
  </r>
  <r>
    <x v="0"/>
    <x v="0"/>
    <x v="3"/>
    <n v="120000"/>
    <n v="10000"/>
    <n v="8500"/>
    <n v="1500"/>
    <n v="15"/>
    <n v="125"/>
    <n v="68"/>
    <n v="-1500"/>
  </r>
  <r>
    <x v="0"/>
    <x v="0"/>
    <x v="4"/>
    <n v="240000"/>
    <n v="20000"/>
    <n v="18500"/>
    <n v="1500"/>
    <n v="7.5"/>
    <n v="125"/>
    <n v="148"/>
    <n v="-1500"/>
  </r>
  <r>
    <x v="0"/>
    <x v="1"/>
    <x v="0"/>
    <n v="7200000"/>
    <n v="600000"/>
    <n v="595000"/>
    <n v="5000"/>
    <n v="0.8"/>
    <n v="45"/>
    <n v="13222"/>
    <n v="-5000"/>
  </r>
  <r>
    <x v="0"/>
    <x v="1"/>
    <x v="1"/>
    <n v="300000"/>
    <n v="25000"/>
    <n v="28000"/>
    <n v="-3000"/>
    <n v="-12"/>
    <n v="45"/>
    <n v="622"/>
    <n v="3000"/>
  </r>
  <r>
    <x v="0"/>
    <x v="1"/>
    <x v="3"/>
    <n v="480000"/>
    <n v="40000"/>
    <n v="52000"/>
    <n v="-12000"/>
    <n v="-30"/>
    <n v="45"/>
    <n v="1156"/>
    <n v="12000"/>
  </r>
  <r>
    <x v="0"/>
    <x v="1"/>
    <x v="5"/>
    <n v="360000"/>
    <n v="30000"/>
    <n v="32000"/>
    <n v="-2000"/>
    <n v="-6.7"/>
    <n v="45"/>
    <n v="711"/>
    <n v="2000"/>
  </r>
  <r>
    <x v="0"/>
    <x v="1"/>
    <x v="4"/>
    <n v="180000"/>
    <n v="15000"/>
    <n v="14200"/>
    <n v="800"/>
    <n v="5.3"/>
    <n v="45"/>
    <n v="316"/>
    <n v="-800"/>
  </r>
  <r>
    <x v="0"/>
    <x v="2"/>
    <x v="0"/>
    <n v="3600000"/>
    <n v="300000"/>
    <n v="305000"/>
    <n v="-5000"/>
    <n v="-1.7"/>
    <n v="25"/>
    <n v="12200"/>
    <n v="5000"/>
  </r>
  <r>
    <x v="0"/>
    <x v="2"/>
    <x v="1"/>
    <n v="600000"/>
    <n v="50000"/>
    <n v="48000"/>
    <n v="2000"/>
    <n v="4"/>
    <n v="25"/>
    <n v="1920"/>
    <n v="-2000"/>
  </r>
  <r>
    <x v="0"/>
    <x v="2"/>
    <x v="6"/>
    <n v="2400000"/>
    <n v="200000"/>
    <n v="195000"/>
    <n v="5000"/>
    <n v="2.5"/>
    <n v="25"/>
    <n v="7800"/>
    <n v="-5000"/>
  </r>
  <r>
    <x v="0"/>
    <x v="2"/>
    <x v="2"/>
    <n v="240000"/>
    <n v="20000"/>
    <n v="25000"/>
    <n v="-5000"/>
    <n v="-25"/>
    <n v="25"/>
    <n v="1000"/>
    <n v="5000"/>
  </r>
  <r>
    <x v="0"/>
    <x v="2"/>
    <x v="3"/>
    <n v="120000"/>
    <n v="10000"/>
    <n v="12000"/>
    <n v="-2000"/>
    <n v="-20"/>
    <n v="25"/>
    <n v="480"/>
    <n v="2000"/>
  </r>
  <r>
    <x v="0"/>
    <x v="3"/>
    <x v="0"/>
    <n v="4800000"/>
    <n v="400000"/>
    <n v="410000"/>
    <n v="-10000"/>
    <n v="-2.5"/>
    <n v="35"/>
    <n v="11714"/>
    <n v="10000"/>
  </r>
  <r>
    <x v="0"/>
    <x v="3"/>
    <x v="1"/>
    <n v="180000"/>
    <n v="15000"/>
    <n v="16000"/>
    <n v="-1000"/>
    <n v="-6.7"/>
    <n v="35"/>
    <n v="457"/>
    <n v="1000"/>
  </r>
  <r>
    <x v="0"/>
    <x v="3"/>
    <x v="2"/>
    <n v="120000"/>
    <n v="10000"/>
    <n v="8500"/>
    <n v="1500"/>
    <n v="15"/>
    <n v="35"/>
    <n v="243"/>
    <n v="-1500"/>
  </r>
  <r>
    <x v="0"/>
    <x v="3"/>
    <x v="3"/>
    <n v="60000"/>
    <n v="5000"/>
    <n v="4200"/>
    <n v="800"/>
    <n v="16"/>
    <n v="35"/>
    <n v="120"/>
    <n v="-800"/>
  </r>
  <r>
    <x v="0"/>
    <x v="4"/>
    <x v="0"/>
    <n v="2400000"/>
    <n v="200000"/>
    <n v="198000"/>
    <n v="2000"/>
    <n v="1"/>
    <n v="30"/>
    <n v="6600"/>
    <n v="-2000"/>
  </r>
  <r>
    <x v="0"/>
    <x v="4"/>
    <x v="1"/>
    <n v="120000"/>
    <n v="10000"/>
    <n v="11000"/>
    <n v="-1000"/>
    <n v="-10"/>
    <n v="30"/>
    <n v="367"/>
    <n v="1000"/>
  </r>
  <r>
    <x v="0"/>
    <x v="4"/>
    <x v="3"/>
    <n v="96000"/>
    <n v="8000"/>
    <n v="9500"/>
    <n v="-1500"/>
    <n v="-18.8"/>
    <n v="30"/>
    <n v="317"/>
    <n v="1500"/>
  </r>
  <r>
    <x v="0"/>
    <x v="4"/>
    <x v="4"/>
    <n v="72000"/>
    <n v="6000"/>
    <n v="5800"/>
    <n v="200"/>
    <n v="3.3"/>
    <n v="30"/>
    <n v="193"/>
    <n v="-200"/>
  </r>
  <r>
    <x v="0"/>
    <x v="5"/>
    <x v="0"/>
    <n v="1800000"/>
    <n v="150000"/>
    <n v="148000"/>
    <n v="2000"/>
    <n v="1.3"/>
    <n v="12"/>
    <n v="12333"/>
    <n v="-2000"/>
  </r>
  <r>
    <x v="0"/>
    <x v="5"/>
    <x v="1"/>
    <n v="120000"/>
    <n v="10000"/>
    <n v="9500"/>
    <n v="500"/>
    <n v="5"/>
    <n v="12"/>
    <n v="792"/>
    <n v="-500"/>
  </r>
  <r>
    <x v="0"/>
    <x v="5"/>
    <x v="2"/>
    <n v="240000"/>
    <n v="20000"/>
    <n v="22000"/>
    <n v="-2000"/>
    <n v="-10"/>
    <n v="12"/>
    <n v="1833"/>
    <n v="2000"/>
  </r>
  <r>
    <x v="0"/>
    <x v="5"/>
    <x v="4"/>
    <n v="60000"/>
    <n v="5000"/>
    <n v="4800"/>
    <n v="200"/>
    <n v="4"/>
    <n v="12"/>
    <n v="400"/>
    <n v="-200"/>
  </r>
  <r>
    <x v="0"/>
    <x v="6"/>
    <x v="0"/>
    <n v="1200000"/>
    <n v="100000"/>
    <n v="102000"/>
    <n v="-2000"/>
    <n v="-2"/>
    <n v="8"/>
    <n v="12750"/>
    <n v="2000"/>
  </r>
  <r>
    <x v="0"/>
    <x v="6"/>
    <x v="1"/>
    <n v="96000"/>
    <n v="8000"/>
    <n v="8500"/>
    <n v="-500"/>
    <n v="-6.3"/>
    <n v="8"/>
    <n v="1063"/>
    <n v="500"/>
  </r>
  <r>
    <x v="0"/>
    <x v="6"/>
    <x v="2"/>
    <n v="144000"/>
    <n v="12000"/>
    <n v="15000"/>
    <n v="-3000"/>
    <n v="-25"/>
    <n v="8"/>
    <n v="1875"/>
    <n v="3000"/>
  </r>
  <r>
    <x v="0"/>
    <x v="6"/>
    <x v="4"/>
    <n v="72000"/>
    <n v="6000"/>
    <n v="5500"/>
    <n v="500"/>
    <n v="8.3000000000000007"/>
    <n v="8"/>
    <n v="688"/>
    <n v="-500"/>
  </r>
  <r>
    <x v="0"/>
    <x v="7"/>
    <x v="0"/>
    <n v="1800000"/>
    <n v="150000"/>
    <n v="145000"/>
    <n v="5000"/>
    <n v="3.3"/>
    <n v="20"/>
    <n v="7250"/>
    <n v="-5000"/>
  </r>
  <r>
    <x v="0"/>
    <x v="7"/>
    <x v="1"/>
    <n v="360000"/>
    <n v="30000"/>
    <n v="32000"/>
    <n v="-2000"/>
    <n v="-6.7"/>
    <n v="20"/>
    <n v="1600"/>
    <n v="2000"/>
  </r>
  <r>
    <x v="0"/>
    <x v="7"/>
    <x v="2"/>
    <n v="120000"/>
    <n v="10000"/>
    <n v="8000"/>
    <n v="2000"/>
    <n v="20"/>
    <n v="20"/>
    <n v="400"/>
    <n v="-2000"/>
  </r>
  <r>
    <x v="0"/>
    <x v="7"/>
    <x v="3"/>
    <n v="48000"/>
    <n v="4000"/>
    <n v="3500"/>
    <n v="500"/>
    <n v="12.5"/>
    <n v="20"/>
    <n v="175"/>
    <n v="-500"/>
  </r>
  <r>
    <x v="0"/>
    <x v="7"/>
    <x v="7"/>
    <n v="480000"/>
    <n v="40000"/>
    <n v="38000"/>
    <n v="2000"/>
    <n v="5"/>
    <n v="20"/>
    <n v="1900"/>
    <n v="-2000"/>
  </r>
  <r>
    <x v="1"/>
    <x v="0"/>
    <x v="0"/>
    <n v="18000000"/>
    <n v="1500000"/>
    <n v="1535000"/>
    <n v="-35000"/>
    <n v="-2.2999999999999998"/>
    <n v="128"/>
    <n v="11992"/>
    <n v="35000"/>
  </r>
  <r>
    <x v="1"/>
    <x v="0"/>
    <x v="1"/>
    <n v="1200000"/>
    <n v="100000"/>
    <n v="102000"/>
    <n v="-2000"/>
    <n v="-2"/>
    <n v="128"/>
    <n v="797"/>
    <n v="2000"/>
  </r>
  <r>
    <x v="1"/>
    <x v="0"/>
    <x v="2"/>
    <n v="360000"/>
    <n v="30000"/>
    <n v="25000"/>
    <n v="5000"/>
    <n v="16.7"/>
    <n v="128"/>
    <n v="195"/>
    <n v="-5000"/>
  </r>
  <r>
    <x v="1"/>
    <x v="0"/>
    <x v="3"/>
    <n v="120000"/>
    <n v="10000"/>
    <n v="7500"/>
    <n v="2500"/>
    <n v="25"/>
    <n v="128"/>
    <n v="59"/>
    <n v="-2500"/>
  </r>
  <r>
    <x v="1"/>
    <x v="0"/>
    <x v="4"/>
    <n v="240000"/>
    <n v="20000"/>
    <n v="19000"/>
    <n v="1000"/>
    <n v="5"/>
    <n v="128"/>
    <n v="148"/>
    <n v="-1000"/>
  </r>
  <r>
    <x v="1"/>
    <x v="1"/>
    <x v="0"/>
    <n v="7200000"/>
    <n v="600000"/>
    <n v="610000"/>
    <n v="-10000"/>
    <n v="-1.7"/>
    <n v="47"/>
    <n v="12979"/>
    <n v="10000"/>
  </r>
  <r>
    <x v="1"/>
    <x v="1"/>
    <x v="1"/>
    <n v="300000"/>
    <n v="25000"/>
    <n v="26000"/>
    <n v="-1000"/>
    <n v="-4"/>
    <n v="47"/>
    <n v="553"/>
    <n v="1000"/>
  </r>
  <r>
    <x v="1"/>
    <x v="1"/>
    <x v="3"/>
    <n v="480000"/>
    <n v="40000"/>
    <n v="48000"/>
    <n v="-8000"/>
    <n v="-20"/>
    <n v="47"/>
    <n v="1021"/>
    <n v="8000"/>
  </r>
  <r>
    <x v="1"/>
    <x v="1"/>
    <x v="5"/>
    <n v="360000"/>
    <n v="30000"/>
    <n v="28000"/>
    <n v="2000"/>
    <n v="6.7"/>
    <n v="47"/>
    <n v="596"/>
    <n v="-2000"/>
  </r>
  <r>
    <x v="1"/>
    <x v="1"/>
    <x v="4"/>
    <n v="180000"/>
    <n v="15000"/>
    <n v="15500"/>
    <n v="-500"/>
    <n v="-3.3"/>
    <n v="47"/>
    <n v="330"/>
    <n v="500"/>
  </r>
  <r>
    <x v="1"/>
    <x v="2"/>
    <x v="0"/>
    <n v="3600000"/>
    <n v="300000"/>
    <n v="308000"/>
    <n v="-8000"/>
    <n v="-2.7"/>
    <n v="26"/>
    <n v="11846"/>
    <n v="8000"/>
  </r>
  <r>
    <x v="1"/>
    <x v="2"/>
    <x v="1"/>
    <n v="600000"/>
    <n v="50000"/>
    <n v="52000"/>
    <n v="-2000"/>
    <n v="-4"/>
    <n v="26"/>
    <n v="2000"/>
    <n v="2000"/>
  </r>
  <r>
    <x v="1"/>
    <x v="2"/>
    <x v="6"/>
    <n v="2400000"/>
    <n v="200000"/>
    <n v="210000"/>
    <n v="-10000"/>
    <n v="-5"/>
    <n v="26"/>
    <n v="8077"/>
    <n v="10000"/>
  </r>
  <r>
    <x v="1"/>
    <x v="2"/>
    <x v="2"/>
    <n v="240000"/>
    <n v="20000"/>
    <n v="18000"/>
    <n v="2000"/>
    <n v="10"/>
    <n v="26"/>
    <n v="692"/>
    <n v="-2000"/>
  </r>
  <r>
    <x v="1"/>
    <x v="2"/>
    <x v="3"/>
    <n v="120000"/>
    <n v="10000"/>
    <n v="8000"/>
    <n v="2000"/>
    <n v="20"/>
    <n v="26"/>
    <n v="308"/>
    <n v="-2000"/>
  </r>
  <r>
    <x v="1"/>
    <x v="3"/>
    <x v="0"/>
    <n v="4800000"/>
    <n v="400000"/>
    <n v="415000"/>
    <n v="-15000"/>
    <n v="-3.8"/>
    <n v="36"/>
    <n v="11528"/>
    <n v="15000"/>
  </r>
  <r>
    <x v="1"/>
    <x v="3"/>
    <x v="1"/>
    <n v="180000"/>
    <n v="15000"/>
    <n v="15500"/>
    <n v="-500"/>
    <n v="-3.3"/>
    <n v="36"/>
    <n v="431"/>
    <n v="500"/>
  </r>
  <r>
    <x v="1"/>
    <x v="3"/>
    <x v="2"/>
    <n v="120000"/>
    <n v="10000"/>
    <n v="12000"/>
    <n v="-2000"/>
    <n v="-20"/>
    <n v="36"/>
    <n v="333"/>
    <n v="2000"/>
  </r>
  <r>
    <x v="1"/>
    <x v="3"/>
    <x v="3"/>
    <n v="60000"/>
    <n v="5000"/>
    <n v="6000"/>
    <n v="-1000"/>
    <n v="-20"/>
    <n v="36"/>
    <n v="167"/>
    <n v="1000"/>
  </r>
  <r>
    <x v="1"/>
    <x v="4"/>
    <x v="0"/>
    <n v="2400000"/>
    <n v="200000"/>
    <n v="202000"/>
    <n v="-2000"/>
    <n v="-1"/>
    <n v="31"/>
    <n v="6516"/>
    <n v="2000"/>
  </r>
  <r>
    <x v="1"/>
    <x v="4"/>
    <x v="1"/>
    <n v="120000"/>
    <n v="10000"/>
    <n v="10500"/>
    <n v="-500"/>
    <n v="-5"/>
    <n v="31"/>
    <n v="339"/>
    <n v="500"/>
  </r>
  <r>
    <x v="1"/>
    <x v="4"/>
    <x v="3"/>
    <n v="96000"/>
    <n v="8000"/>
    <n v="11000"/>
    <n v="-3000"/>
    <n v="-37.5"/>
    <n v="31"/>
    <n v="355"/>
    <n v="3000"/>
  </r>
  <r>
    <x v="1"/>
    <x v="4"/>
    <x v="4"/>
    <n v="72000"/>
    <n v="6000"/>
    <n v="6200"/>
    <n v="-200"/>
    <n v="-3.3"/>
    <n v="31"/>
    <n v="200"/>
    <n v="200"/>
  </r>
  <r>
    <x v="1"/>
    <x v="5"/>
    <x v="0"/>
    <n v="1800000"/>
    <n v="150000"/>
    <n v="149000"/>
    <n v="1000"/>
    <n v="0.7"/>
    <n v="12"/>
    <n v="12417"/>
    <n v="-1000"/>
  </r>
  <r>
    <x v="1"/>
    <x v="5"/>
    <x v="1"/>
    <n v="120000"/>
    <n v="10000"/>
    <n v="9800"/>
    <n v="200"/>
    <n v="2"/>
    <n v="12"/>
    <n v="817"/>
    <n v="-200"/>
  </r>
  <r>
    <x v="1"/>
    <x v="5"/>
    <x v="2"/>
    <n v="240000"/>
    <n v="20000"/>
    <n v="18000"/>
    <n v="2000"/>
    <n v="10"/>
    <n v="12"/>
    <n v="1500"/>
    <n v="-2000"/>
  </r>
  <r>
    <x v="1"/>
    <x v="5"/>
    <x v="4"/>
    <n v="60000"/>
    <n v="5000"/>
    <n v="5200"/>
    <n v="-200"/>
    <n v="-4"/>
    <n v="12"/>
    <n v="433"/>
    <n v="200"/>
  </r>
  <r>
    <x v="1"/>
    <x v="6"/>
    <x v="0"/>
    <n v="1200000"/>
    <n v="100000"/>
    <n v="105000"/>
    <n v="-5000"/>
    <n v="-5"/>
    <n v="9"/>
    <n v="11667"/>
    <n v="5000"/>
  </r>
  <r>
    <x v="1"/>
    <x v="6"/>
    <x v="1"/>
    <n v="96000"/>
    <n v="8000"/>
    <n v="8200"/>
    <n v="-200"/>
    <n v="-2.5"/>
    <n v="9"/>
    <n v="911"/>
    <n v="200"/>
  </r>
  <r>
    <x v="1"/>
    <x v="6"/>
    <x v="2"/>
    <n v="144000"/>
    <n v="12000"/>
    <n v="10000"/>
    <n v="2000"/>
    <n v="16.7"/>
    <n v="9"/>
    <n v="1111"/>
    <n v="-2000"/>
  </r>
  <r>
    <x v="1"/>
    <x v="6"/>
    <x v="4"/>
    <n v="72000"/>
    <n v="6000"/>
    <n v="6500"/>
    <n v="-500"/>
    <n v="-8.3000000000000007"/>
    <n v="9"/>
    <n v="722"/>
    <n v="500"/>
  </r>
  <r>
    <x v="1"/>
    <x v="7"/>
    <x v="0"/>
    <n v="1800000"/>
    <n v="150000"/>
    <n v="148000"/>
    <n v="2000"/>
    <n v="1.3"/>
    <n v="20"/>
    <n v="7400"/>
    <n v="-2000"/>
  </r>
  <r>
    <x v="1"/>
    <x v="7"/>
    <x v="1"/>
    <n v="360000"/>
    <n v="30000"/>
    <n v="31000"/>
    <n v="-1000"/>
    <n v="-3.3"/>
    <n v="20"/>
    <n v="1550"/>
    <n v="1000"/>
  </r>
  <r>
    <x v="1"/>
    <x v="7"/>
    <x v="2"/>
    <n v="120000"/>
    <n v="10000"/>
    <n v="9000"/>
    <n v="1000"/>
    <n v="10"/>
    <n v="20"/>
    <n v="450"/>
    <n v="-1000"/>
  </r>
  <r>
    <x v="1"/>
    <x v="7"/>
    <x v="3"/>
    <n v="48000"/>
    <n v="4000"/>
    <n v="3000"/>
    <n v="1000"/>
    <n v="25"/>
    <n v="20"/>
    <n v="150"/>
    <n v="-1000"/>
  </r>
  <r>
    <x v="1"/>
    <x v="7"/>
    <x v="7"/>
    <n v="480000"/>
    <n v="40000"/>
    <n v="40500"/>
    <n v="-500"/>
    <n v="-1.3"/>
    <n v="20"/>
    <n v="2025"/>
    <n v="500"/>
  </r>
  <r>
    <x v="2"/>
    <x v="0"/>
    <x v="0"/>
    <n v="18000000"/>
    <n v="1500000"/>
    <n v="1580000"/>
    <n v="-80000"/>
    <n v="-5.3"/>
    <n v="132"/>
    <n v="11970"/>
    <n v="80000"/>
  </r>
  <r>
    <x v="2"/>
    <x v="0"/>
    <x v="1"/>
    <n v="1200000"/>
    <n v="100000"/>
    <n v="108000"/>
    <n v="-8000"/>
    <n v="-8"/>
    <n v="132"/>
    <n v="818"/>
    <n v="8000"/>
  </r>
  <r>
    <x v="2"/>
    <x v="0"/>
    <x v="2"/>
    <n v="360000"/>
    <n v="30000"/>
    <n v="35000"/>
    <n v="-5000"/>
    <n v="-16.7"/>
    <n v="132"/>
    <n v="265"/>
    <n v="5000"/>
  </r>
  <r>
    <x v="2"/>
    <x v="0"/>
    <x v="3"/>
    <n v="120000"/>
    <n v="10000"/>
    <n v="12000"/>
    <n v="-2000"/>
    <n v="-20"/>
    <n v="132"/>
    <n v="91"/>
    <n v="2000"/>
  </r>
  <r>
    <x v="2"/>
    <x v="0"/>
    <x v="4"/>
    <n v="240000"/>
    <n v="20000"/>
    <n v="20500"/>
    <n v="-500"/>
    <n v="-2.5"/>
    <n v="132"/>
    <n v="155"/>
    <n v="500"/>
  </r>
  <r>
    <x v="2"/>
    <x v="1"/>
    <x v="0"/>
    <n v="7200000"/>
    <n v="600000"/>
    <n v="625000"/>
    <n v="-25000"/>
    <n v="-4.2"/>
    <n v="50"/>
    <n v="12500"/>
    <n v="25000"/>
  </r>
  <r>
    <x v="2"/>
    <x v="1"/>
    <x v="1"/>
    <n v="300000"/>
    <n v="25000"/>
    <n v="27000"/>
    <n v="-2000"/>
    <n v="-8"/>
    <n v="50"/>
    <n v="540"/>
    <n v="2000"/>
  </r>
  <r>
    <x v="2"/>
    <x v="1"/>
    <x v="3"/>
    <n v="480000"/>
    <n v="40000"/>
    <n v="55000"/>
    <n v="-15000"/>
    <n v="-37.5"/>
    <n v="50"/>
    <n v="1100"/>
    <n v="15000"/>
  </r>
  <r>
    <x v="2"/>
    <x v="1"/>
    <x v="5"/>
    <n v="360000"/>
    <n v="30000"/>
    <n v="35000"/>
    <n v="-5000"/>
    <n v="-16.7"/>
    <n v="50"/>
    <n v="700"/>
    <n v="5000"/>
  </r>
  <r>
    <x v="2"/>
    <x v="1"/>
    <x v="4"/>
    <n v="180000"/>
    <n v="15000"/>
    <n v="16000"/>
    <n v="-1000"/>
    <n v="-6.7"/>
    <n v="50"/>
    <n v="320"/>
    <n v="1000"/>
  </r>
  <r>
    <x v="2"/>
    <x v="2"/>
    <x v="0"/>
    <n v="3600000"/>
    <n v="300000"/>
    <n v="312000"/>
    <n v="-12000"/>
    <n v="-4"/>
    <n v="27"/>
    <n v="11556"/>
    <n v="12000"/>
  </r>
  <r>
    <x v="2"/>
    <x v="2"/>
    <x v="1"/>
    <n v="600000"/>
    <n v="50000"/>
    <n v="55000"/>
    <n v="-5000"/>
    <n v="-10"/>
    <n v="27"/>
    <n v="2037"/>
    <n v="5000"/>
  </r>
  <r>
    <x v="2"/>
    <x v="2"/>
    <x v="6"/>
    <n v="2400000"/>
    <n v="200000"/>
    <n v="225000"/>
    <n v="-25000"/>
    <n v="-12.5"/>
    <n v="27"/>
    <n v="8333"/>
    <n v="25000"/>
  </r>
  <r>
    <x v="2"/>
    <x v="2"/>
    <x v="2"/>
    <n v="240000"/>
    <n v="20000"/>
    <n v="22000"/>
    <n v="-2000"/>
    <n v="-10"/>
    <n v="27"/>
    <n v="815"/>
    <n v="2000"/>
  </r>
  <r>
    <x v="2"/>
    <x v="2"/>
    <x v="3"/>
    <n v="120000"/>
    <n v="10000"/>
    <n v="15000"/>
    <n v="-5000"/>
    <n v="-50"/>
    <n v="27"/>
    <n v="556"/>
    <n v="5000"/>
  </r>
  <r>
    <x v="2"/>
    <x v="3"/>
    <x v="0"/>
    <n v="4800000"/>
    <n v="400000"/>
    <n v="425000"/>
    <n v="-25000"/>
    <n v="-6.3"/>
    <n v="38"/>
    <n v="11184"/>
    <n v="25000"/>
  </r>
  <r>
    <x v="2"/>
    <x v="3"/>
    <x v="1"/>
    <n v="180000"/>
    <n v="15000"/>
    <n v="16000"/>
    <n v="-1000"/>
    <n v="-6.7"/>
    <n v="38"/>
    <n v="421"/>
    <n v="1000"/>
  </r>
  <r>
    <x v="2"/>
    <x v="3"/>
    <x v="2"/>
    <n v="120000"/>
    <n v="10000"/>
    <n v="15000"/>
    <n v="-5000"/>
    <n v="-50"/>
    <n v="38"/>
    <n v="395"/>
    <n v="5000"/>
  </r>
  <r>
    <x v="2"/>
    <x v="3"/>
    <x v="3"/>
    <n v="60000"/>
    <n v="5000"/>
    <n v="8000"/>
    <n v="-3000"/>
    <n v="-60"/>
    <n v="38"/>
    <n v="211"/>
    <n v="3000"/>
  </r>
  <r>
    <x v="2"/>
    <x v="4"/>
    <x v="0"/>
    <n v="2400000"/>
    <n v="200000"/>
    <n v="205000"/>
    <n v="-5000"/>
    <n v="-2.5"/>
    <n v="32"/>
    <n v="6406"/>
    <n v="5000"/>
  </r>
  <r>
    <x v="2"/>
    <x v="4"/>
    <x v="1"/>
    <n v="120000"/>
    <n v="10000"/>
    <n v="11000"/>
    <n v="-1000"/>
    <n v="-10"/>
    <n v="32"/>
    <n v="344"/>
    <n v="1000"/>
  </r>
  <r>
    <x v="2"/>
    <x v="4"/>
    <x v="3"/>
    <n v="96000"/>
    <n v="8000"/>
    <n v="14000"/>
    <n v="-6000"/>
    <n v="-75"/>
    <n v="32"/>
    <n v="438"/>
    <n v="6000"/>
  </r>
  <r>
    <x v="2"/>
    <x v="4"/>
    <x v="4"/>
    <n v="72000"/>
    <n v="6000"/>
    <n v="6500"/>
    <n v="-500"/>
    <n v="-8.3000000000000007"/>
    <n v="32"/>
    <n v="203"/>
    <n v="500"/>
  </r>
  <r>
    <x v="2"/>
    <x v="5"/>
    <x v="0"/>
    <n v="1800000"/>
    <n v="150000"/>
    <n v="151000"/>
    <n v="-1000"/>
    <n v="-0.7"/>
    <n v="13"/>
    <n v="11615"/>
    <n v="1000"/>
  </r>
  <r>
    <x v="2"/>
    <x v="5"/>
    <x v="1"/>
    <n v="120000"/>
    <n v="10000"/>
    <n v="10200"/>
    <n v="-200"/>
    <n v="-2"/>
    <n v="13"/>
    <n v="785"/>
    <n v="200"/>
  </r>
  <r>
    <x v="2"/>
    <x v="5"/>
    <x v="2"/>
    <n v="240000"/>
    <n v="20000"/>
    <n v="25000"/>
    <n v="-5000"/>
    <n v="-25"/>
    <n v="13"/>
    <n v="1923"/>
    <n v="5000"/>
  </r>
  <r>
    <x v="2"/>
    <x v="5"/>
    <x v="4"/>
    <n v="60000"/>
    <n v="5000"/>
    <n v="5100"/>
    <n v="-100"/>
    <n v="-2"/>
    <n v="13"/>
    <n v="392"/>
    <n v="100"/>
  </r>
  <r>
    <x v="2"/>
    <x v="6"/>
    <x v="0"/>
    <n v="1200000"/>
    <n v="100000"/>
    <n v="108000"/>
    <n v="-8000"/>
    <n v="-8"/>
    <n v="10"/>
    <n v="10800"/>
    <n v="8000"/>
  </r>
  <r>
    <x v="2"/>
    <x v="6"/>
    <x v="1"/>
    <n v="96000"/>
    <n v="8000"/>
    <n v="8500"/>
    <n v="-500"/>
    <n v="-6.3"/>
    <n v="10"/>
    <n v="850"/>
    <n v="500"/>
  </r>
  <r>
    <x v="2"/>
    <x v="6"/>
    <x v="2"/>
    <n v="144000"/>
    <n v="12000"/>
    <n v="15000"/>
    <n v="-3000"/>
    <n v="-25"/>
    <n v="10"/>
    <n v="1500"/>
    <n v="3000"/>
  </r>
  <r>
    <x v="2"/>
    <x v="6"/>
    <x v="4"/>
    <n v="72000"/>
    <n v="6000"/>
    <n v="7000"/>
    <n v="-1000"/>
    <n v="-16.7"/>
    <n v="10"/>
    <n v="700"/>
    <n v="1000"/>
  </r>
  <r>
    <x v="2"/>
    <x v="7"/>
    <x v="0"/>
    <n v="1800000"/>
    <n v="150000"/>
    <n v="152000"/>
    <n v="-2000"/>
    <n v="-1.3"/>
    <n v="21"/>
    <n v="7238"/>
    <n v="2000"/>
  </r>
  <r>
    <x v="2"/>
    <x v="7"/>
    <x v="1"/>
    <n v="360000"/>
    <n v="30000"/>
    <n v="33000"/>
    <n v="-3000"/>
    <n v="-10"/>
    <n v="21"/>
    <n v="1571"/>
    <n v="3000"/>
  </r>
  <r>
    <x v="2"/>
    <x v="7"/>
    <x v="2"/>
    <n v="120000"/>
    <n v="10000"/>
    <n v="12000"/>
    <n v="-2000"/>
    <n v="-20"/>
    <n v="21"/>
    <n v="571"/>
    <n v="2000"/>
  </r>
  <r>
    <x v="2"/>
    <x v="7"/>
    <x v="3"/>
    <n v="48000"/>
    <n v="4000"/>
    <n v="4500"/>
    <n v="-500"/>
    <n v="-12.5"/>
    <n v="21"/>
    <n v="214"/>
    <n v="500"/>
  </r>
  <r>
    <x v="2"/>
    <x v="7"/>
    <x v="7"/>
    <n v="480000"/>
    <n v="40000"/>
    <n v="41000"/>
    <n v="-1000"/>
    <n v="-2.5"/>
    <n v="21"/>
    <n v="1952"/>
    <n v="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F27C28-F43A-4DE9-9683-88D3C2C244A7}"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Department">
  <location ref="F3:H12" firstHeaderRow="0" firstDataRow="1" firstDataCol="1"/>
  <pivotFields count="11">
    <pivotField numFmtId="164" showAll="0">
      <items count="15">
        <item x="0"/>
        <item x="1"/>
        <item x="2"/>
        <item x="3"/>
        <item x="4"/>
        <item x="5"/>
        <item x="6"/>
        <item x="7"/>
        <item x="8"/>
        <item x="9"/>
        <item x="10"/>
        <item x="11"/>
        <item x="12"/>
        <item x="13"/>
        <item t="default"/>
      </items>
    </pivotField>
    <pivotField axis="axisRow" showAll="0" sortType="descending">
      <items count="9">
        <item x="4"/>
        <item x="0"/>
        <item x="5"/>
        <item x="6"/>
        <item x="2"/>
        <item x="7"/>
        <item x="3"/>
        <item x="1"/>
        <item t="default"/>
      </items>
      <autoSortScope>
        <pivotArea dataOnly="0" outline="0" fieldPosition="0">
          <references count="1">
            <reference field="4294967294" count="1" selected="0">
              <x v="0"/>
            </reference>
          </references>
        </pivotArea>
      </autoSortScope>
    </pivotField>
    <pivotField showAll="0">
      <items count="9">
        <item x="6"/>
        <item x="7"/>
        <item x="5"/>
        <item x="4"/>
        <item x="0"/>
        <item x="2"/>
        <item x="1"/>
        <item x="3"/>
        <item t="default"/>
      </items>
    </pivotField>
    <pivotField numFmtId="165" showAll="0"/>
    <pivotField numFmtId="165" showAll="0"/>
    <pivotField numFmtId="165" showAll="0"/>
    <pivotField dataField="1" numFmtId="165" showAll="0"/>
    <pivotField dataField="1" numFmtId="166" showAll="0"/>
    <pivotField numFmtId="1" showAll="0"/>
    <pivotField numFmtId="2" showAll="0"/>
    <pivotField numFmtId="165" showAll="0"/>
  </pivotFields>
  <rowFields count="1">
    <field x="1"/>
  </rowFields>
  <rowItems count="9">
    <i>
      <x v="5"/>
    </i>
    <i>
      <x v="2"/>
    </i>
    <i>
      <x/>
    </i>
    <i>
      <x v="3"/>
    </i>
    <i>
      <x v="6"/>
    </i>
    <i>
      <x v="4"/>
    </i>
    <i>
      <x v="7"/>
    </i>
    <i>
      <x v="1"/>
    </i>
    <i t="grand">
      <x/>
    </i>
  </rowItems>
  <colFields count="1">
    <field x="-2"/>
  </colFields>
  <colItems count="2">
    <i>
      <x/>
    </i>
    <i i="1">
      <x v="1"/>
    </i>
  </colItems>
  <dataFields count="2">
    <dataField name="Sum of Variance_Amount" fld="6" baseField="0" baseItem="0"/>
    <dataField name="Average of Variance_Percent" fld="7" subtotal="average" baseField="1" baseItem="0" numFmtId="9"/>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2" format="7">
      <pivotArea type="data" outline="0" fieldPosition="0">
        <references count="2">
          <reference field="4294967294" count="1" selected="0">
            <x v="0"/>
          </reference>
          <reference field="1" count="1" selected="0">
            <x v="7"/>
          </reference>
        </references>
      </pivotArea>
    </chartFormat>
    <chartFormat chart="2" format="8">
      <pivotArea type="data" outline="0" fieldPosition="0">
        <references count="2">
          <reference field="4294967294" count="1" selected="0">
            <x v="0"/>
          </reference>
          <reference field="1" count="1" selected="0">
            <x v="4"/>
          </reference>
        </references>
      </pivotArea>
    </chartFormat>
    <chartFormat chart="2" format="9">
      <pivotArea type="data" outline="0" fieldPosition="0">
        <references count="2">
          <reference field="4294967294" count="1" selected="0">
            <x v="0"/>
          </reference>
          <reference field="1" count="1" selected="0">
            <x v="6"/>
          </reference>
        </references>
      </pivotArea>
    </chartFormat>
    <chartFormat chart="2" format="10">
      <pivotArea type="data" outline="0" fieldPosition="0">
        <references count="2">
          <reference field="4294967294" count="1" selected="0">
            <x v="1"/>
          </reference>
          <reference field="1" count="1" selected="0">
            <x v="3"/>
          </reference>
        </references>
      </pivotArea>
    </chartFormat>
    <chartFormat chart="2" format="1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1A8877-0397-4C95-90C0-17AF335337A5}"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Departments">
  <location ref="A3:D12" firstHeaderRow="0" firstDataRow="1" firstDataCol="1"/>
  <pivotFields count="11">
    <pivotField numFmtId="164" showAll="0">
      <items count="15">
        <item x="0"/>
        <item x="1"/>
        <item x="2"/>
        <item x="3"/>
        <item x="4"/>
        <item x="5"/>
        <item x="6"/>
        <item x="7"/>
        <item x="8"/>
        <item x="9"/>
        <item x="10"/>
        <item x="11"/>
        <item x="12"/>
        <item x="13"/>
        <item t="default"/>
      </items>
    </pivotField>
    <pivotField axis="axisRow" showAll="0" sortType="descending">
      <items count="9">
        <item x="4"/>
        <item x="0"/>
        <item x="5"/>
        <item x="6"/>
        <item x="2"/>
        <item x="7"/>
        <item x="3"/>
        <item x="1"/>
        <item t="default"/>
      </items>
      <autoSortScope>
        <pivotArea dataOnly="0" outline="0" fieldPosition="0">
          <references count="1">
            <reference field="4294967294" count="1" selected="0">
              <x v="2"/>
            </reference>
          </references>
        </pivotArea>
      </autoSortScope>
    </pivotField>
    <pivotField showAll="0">
      <items count="9">
        <item x="6"/>
        <item x="7"/>
        <item x="5"/>
        <item x="4"/>
        <item x="0"/>
        <item x="2"/>
        <item x="1"/>
        <item x="3"/>
        <item t="default"/>
      </items>
    </pivotField>
    <pivotField numFmtId="165" showAll="0"/>
    <pivotField dataField="1" numFmtId="165" showAll="0"/>
    <pivotField dataField="1" numFmtId="165" showAll="0"/>
    <pivotField numFmtId="165" showAll="0"/>
    <pivotField numFmtId="166" showAll="0"/>
    <pivotField numFmtId="1" showAll="0"/>
    <pivotField numFmtId="2" showAll="0"/>
    <pivotField dataField="1" numFmtId="165" showAll="0"/>
  </pivotFields>
  <rowFields count="1">
    <field x="1"/>
  </rowFields>
  <rowItems count="9">
    <i>
      <x v="1"/>
    </i>
    <i>
      <x v="7"/>
    </i>
    <i>
      <x v="4"/>
    </i>
    <i>
      <x v="6"/>
    </i>
    <i>
      <x v="3"/>
    </i>
    <i>
      <x/>
    </i>
    <i>
      <x v="2"/>
    </i>
    <i>
      <x v="5"/>
    </i>
    <i t="grand">
      <x/>
    </i>
  </rowItems>
  <colFields count="1">
    <field x="-2"/>
  </colFields>
  <colItems count="3">
    <i>
      <x/>
    </i>
    <i i="1">
      <x v="1"/>
    </i>
    <i i="2">
      <x v="2"/>
    </i>
  </colItems>
  <dataFields count="3">
    <dataField name="Sum of Actual_Spend" fld="5" baseField="0" baseItem="0" numFmtId="165"/>
    <dataField name="Sum of Budget_Monthly" fld="4" baseField="0" baseItem="0" numFmtId="165"/>
    <dataField name="Sum of Difference" fld="10" baseField="0" baseItem="0" numFmtId="165"/>
  </dataFields>
  <conditionalFormats count="2">
    <conditionalFormat type="all" priority="5">
      <pivotAreas count="1">
        <pivotArea type="data" collapsedLevelsAreSubtotals="1" fieldPosition="0">
          <references count="2">
            <reference field="4294967294" count="1" selected="0">
              <x v="2"/>
            </reference>
            <reference field="1" count="8">
              <x v="0"/>
              <x v="1"/>
              <x v="2"/>
              <x v="3"/>
              <x v="4"/>
              <x v="5"/>
              <x v="6"/>
              <x v="7"/>
            </reference>
          </references>
        </pivotArea>
      </pivotAreas>
    </conditionalFormat>
    <conditionalFormat type="all" priority="6">
      <pivotAreas count="1">
        <pivotArea type="data" collapsedLevelsAreSubtotals="1" fieldPosition="0">
          <references count="2">
            <reference field="4294967294" count="1" selected="0">
              <x v="2"/>
            </reference>
            <reference field="1" count="8">
              <x v="0"/>
              <x v="1"/>
              <x v="2"/>
              <x v="3"/>
              <x v="4"/>
              <x v="5"/>
              <x v="6"/>
              <x v="7"/>
            </reference>
          </references>
        </pivotArea>
      </pivotAreas>
    </conditionalFormat>
  </conditionalFormat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D765C6-8A04-432F-A44C-814B5690C35D}"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8" rowHeaderCaption="Months" colHeaderCaption="Department">
  <location ref="B29:K34" firstHeaderRow="1" firstDataRow="2" firstDataCol="1"/>
  <pivotFields count="11">
    <pivotField axis="axisRow" numFmtId="164" showAll="0">
      <items count="15">
        <item x="1"/>
        <item x="0"/>
        <item x="2"/>
        <item x="3"/>
        <item x="4"/>
        <item x="5"/>
        <item x="6"/>
        <item x="7"/>
        <item x="8"/>
        <item x="9"/>
        <item x="10"/>
        <item x="11"/>
        <item x="12"/>
        <item x="13"/>
        <item t="default"/>
      </items>
    </pivotField>
    <pivotField axis="axisCol" multipleItemSelectionAllowed="1" showAll="0">
      <items count="9">
        <item x="4"/>
        <item x="0"/>
        <item x="5"/>
        <item x="6"/>
        <item x="2"/>
        <item x="7"/>
        <item x="3"/>
        <item x="1"/>
        <item t="default"/>
      </items>
    </pivotField>
    <pivotField showAll="0">
      <items count="9">
        <item x="6"/>
        <item x="7"/>
        <item x="5"/>
        <item x="4"/>
        <item x="0"/>
        <item x="2"/>
        <item x="1"/>
        <item x="3"/>
        <item t="default"/>
      </items>
    </pivotField>
    <pivotField numFmtId="165" showAll="0"/>
    <pivotField numFmtId="165" showAll="0"/>
    <pivotField dataField="1" numFmtId="165" showAll="0"/>
    <pivotField numFmtId="165" showAll="0"/>
    <pivotField numFmtId="166" showAll="0"/>
    <pivotField numFmtId="1" showAll="0"/>
    <pivotField numFmtId="2" showAll="0"/>
    <pivotField numFmtId="165" showAll="0"/>
  </pivotFields>
  <rowFields count="1">
    <field x="0"/>
  </rowFields>
  <rowItems count="4">
    <i>
      <x/>
    </i>
    <i>
      <x v="2"/>
    </i>
    <i>
      <x v="3"/>
    </i>
    <i t="grand">
      <x/>
    </i>
  </rowItems>
  <colFields count="1">
    <field x="1"/>
  </colFields>
  <colItems count="9">
    <i>
      <x/>
    </i>
    <i>
      <x v="1"/>
    </i>
    <i>
      <x v="2"/>
    </i>
    <i>
      <x v="3"/>
    </i>
    <i>
      <x v="4"/>
    </i>
    <i>
      <x v="5"/>
    </i>
    <i>
      <x v="6"/>
    </i>
    <i>
      <x v="7"/>
    </i>
    <i t="grand">
      <x/>
    </i>
  </colItems>
  <dataFields count="1">
    <dataField name="Sum of Actual_Spend" fld="5" baseField="0" baseItem="0" numFmtId="165"/>
  </dataFields>
  <chartFormats count="8">
    <chartFormat chart="27" format="0" series="1">
      <pivotArea type="data" outline="0" fieldPosition="0">
        <references count="2">
          <reference field="4294967294" count="1" selected="0">
            <x v="0"/>
          </reference>
          <reference field="1" count="1" selected="0">
            <x v="2"/>
          </reference>
        </references>
      </pivotArea>
    </chartFormat>
    <chartFormat chart="27" format="1" series="1">
      <pivotArea type="data" outline="0" fieldPosition="0">
        <references count="2">
          <reference field="4294967294" count="1" selected="0">
            <x v="0"/>
          </reference>
          <reference field="1" count="1" selected="0">
            <x v="3"/>
          </reference>
        </references>
      </pivotArea>
    </chartFormat>
    <chartFormat chart="27" format="2" series="1">
      <pivotArea type="data" outline="0" fieldPosition="0">
        <references count="2">
          <reference field="4294967294" count="1" selected="0">
            <x v="0"/>
          </reference>
          <reference field="1" count="1" selected="0">
            <x v="0"/>
          </reference>
        </references>
      </pivotArea>
    </chartFormat>
    <chartFormat chart="27" format="3" series="1">
      <pivotArea type="data" outline="0" fieldPosition="0">
        <references count="2">
          <reference field="4294967294" count="1" selected="0">
            <x v="0"/>
          </reference>
          <reference field="1" count="1" selected="0">
            <x v="1"/>
          </reference>
        </references>
      </pivotArea>
    </chartFormat>
    <chartFormat chart="27" format="4" series="1">
      <pivotArea type="data" outline="0" fieldPosition="0">
        <references count="2">
          <reference field="4294967294" count="1" selected="0">
            <x v="0"/>
          </reference>
          <reference field="1" count="1" selected="0">
            <x v="4"/>
          </reference>
        </references>
      </pivotArea>
    </chartFormat>
    <chartFormat chart="27" format="5" series="1">
      <pivotArea type="data" outline="0" fieldPosition="0">
        <references count="2">
          <reference field="4294967294" count="1" selected="0">
            <x v="0"/>
          </reference>
          <reference field="1" count="1" selected="0">
            <x v="5"/>
          </reference>
        </references>
      </pivotArea>
    </chartFormat>
    <chartFormat chart="27" format="6" series="1">
      <pivotArea type="data" outline="0" fieldPosition="0">
        <references count="2">
          <reference field="4294967294" count="1" selected="0">
            <x v="0"/>
          </reference>
          <reference field="1" count="1" selected="0">
            <x v="6"/>
          </reference>
        </references>
      </pivotArea>
    </chartFormat>
    <chartFormat chart="27" format="7" series="1">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64695B-966E-4635-9511-ECAF5A6E90FE}"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Category">
  <location ref="F3:G12" firstHeaderRow="1" firstDataRow="1" firstDataCol="1"/>
  <pivotFields count="11">
    <pivotField numFmtId="164" showAll="0">
      <items count="15">
        <item x="0"/>
        <item x="1"/>
        <item x="2"/>
        <item x="3"/>
        <item x="4"/>
        <item x="5"/>
        <item x="6"/>
        <item x="7"/>
        <item x="8"/>
        <item x="9"/>
        <item x="10"/>
        <item x="11"/>
        <item x="12"/>
        <item x="13"/>
        <item t="default"/>
      </items>
    </pivotField>
    <pivotField showAll="0">
      <items count="9">
        <item x="4"/>
        <item x="0"/>
        <item x="5"/>
        <item x="6"/>
        <item x="2"/>
        <item x="7"/>
        <item x="3"/>
        <item x="1"/>
        <item t="default"/>
      </items>
    </pivotField>
    <pivotField axis="axisRow" showAll="0" sortType="descending">
      <items count="9">
        <item x="6"/>
        <item x="7"/>
        <item x="5"/>
        <item x="4"/>
        <item x="0"/>
        <item x="2"/>
        <item x="1"/>
        <item x="3"/>
        <item t="default"/>
      </items>
      <autoSortScope>
        <pivotArea dataOnly="0" outline="0" fieldPosition="0">
          <references count="1">
            <reference field="4294967294" count="1" selected="0">
              <x v="0"/>
            </reference>
          </references>
        </pivotArea>
      </autoSortScope>
    </pivotField>
    <pivotField numFmtId="165" showAll="0"/>
    <pivotField numFmtId="165" showAll="0"/>
    <pivotField dataField="1" numFmtId="165" showAll="0"/>
    <pivotField numFmtId="165" showAll="0"/>
    <pivotField numFmtId="166" showAll="0"/>
    <pivotField numFmtId="1" showAll="0"/>
    <pivotField numFmtId="2" showAll="0"/>
    <pivotField numFmtId="165" showAll="0"/>
  </pivotFields>
  <rowFields count="1">
    <field x="2"/>
  </rowFields>
  <rowItems count="9">
    <i>
      <x v="4"/>
    </i>
    <i>
      <x v="6"/>
    </i>
    <i>
      <x/>
    </i>
    <i>
      <x v="5"/>
    </i>
    <i>
      <x v="7"/>
    </i>
    <i>
      <x v="3"/>
    </i>
    <i>
      <x v="1"/>
    </i>
    <i>
      <x v="2"/>
    </i>
    <i t="grand">
      <x/>
    </i>
  </rowItems>
  <colItems count="1">
    <i/>
  </colItems>
  <dataFields count="1">
    <dataField name="Sum of Actual_Spend"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A572CE-BA68-47AA-AF3C-C3C1D547A4AD}"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Department">
  <location ref="A3:C12" firstHeaderRow="0" firstDataRow="1" firstDataCol="1"/>
  <pivotFields count="11">
    <pivotField numFmtId="164" showAll="0">
      <items count="15">
        <item x="0"/>
        <item x="1"/>
        <item x="2"/>
        <item x="3"/>
        <item x="4"/>
        <item x="5"/>
        <item x="6"/>
        <item x="7"/>
        <item x="8"/>
        <item x="9"/>
        <item x="10"/>
        <item x="11"/>
        <item x="12"/>
        <item x="13"/>
        <item t="default"/>
      </items>
    </pivotField>
    <pivotField axis="axisRow" showAll="0" sortType="descending">
      <items count="9">
        <item x="4"/>
        <item x="0"/>
        <item x="5"/>
        <item x="6"/>
        <item x="2"/>
        <item x="7"/>
        <item x="3"/>
        <item x="1"/>
        <item t="default"/>
      </items>
      <autoSortScope>
        <pivotArea dataOnly="0" outline="0" fieldPosition="0">
          <references count="1">
            <reference field="4294967294" count="1" selected="0">
              <x v="1"/>
            </reference>
          </references>
        </pivotArea>
      </autoSortScope>
    </pivotField>
    <pivotField showAll="0">
      <items count="9">
        <item x="6"/>
        <item x="7"/>
        <item x="5"/>
        <item x="4"/>
        <item x="0"/>
        <item x="2"/>
        <item x="1"/>
        <item x="3"/>
        <item t="default"/>
      </items>
    </pivotField>
    <pivotField numFmtId="165" showAll="0"/>
    <pivotField numFmtId="165" showAll="0"/>
    <pivotField numFmtId="165" showAll="0"/>
    <pivotField numFmtId="165" showAll="0"/>
    <pivotField numFmtId="166" showAll="0"/>
    <pivotField dataField="1" numFmtId="1" showAll="0"/>
    <pivotField dataField="1" numFmtId="2" showAll="0"/>
    <pivotField numFmtId="165" showAll="0"/>
  </pivotFields>
  <rowFields count="1">
    <field x="1"/>
  </rowFields>
  <rowItems count="9">
    <i>
      <x v="4"/>
    </i>
    <i>
      <x v="2"/>
    </i>
    <i>
      <x v="3"/>
    </i>
    <i>
      <x v="7"/>
    </i>
    <i>
      <x v="6"/>
    </i>
    <i>
      <x v="1"/>
    </i>
    <i>
      <x v="5"/>
    </i>
    <i>
      <x/>
    </i>
    <i t="grand">
      <x/>
    </i>
  </rowItems>
  <colFields count="1">
    <field x="-2"/>
  </colFields>
  <colItems count="2">
    <i>
      <x/>
    </i>
    <i i="1">
      <x v="1"/>
    </i>
  </colItems>
  <dataFields count="2">
    <dataField name="Sum of Headcount" fld="8" baseField="1" baseItem="4" numFmtId="1"/>
    <dataField name="Average of Spend_Per_Employee" fld="9" subtotal="average" baseField="1" baseItem="4" numFmtId="1"/>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1C06251-D196-481C-8DAC-D0ABD979C74E}" sourceName="Month">
  <pivotTables>
    <pivotTable tabId="5" name="PivotTable3"/>
    <pivotTable tabId="5" name="PivotTable1"/>
    <pivotTable tabId="5" name="PivotTable2"/>
    <pivotTable tabId="7" name="PivotTable1"/>
    <pivotTable tabId="7" name="PivotTable3"/>
  </pivotTables>
  <data>
    <tabular pivotCacheId="1">
      <items count="14">
        <i x="1" s="1"/>
        <i x="2" s="1"/>
        <i x="3" s="1"/>
        <i x="4" s="1" nd="1"/>
        <i x="5" s="1" nd="1"/>
        <i x="6" s="1" nd="1"/>
        <i x="7" s="1" nd="1"/>
        <i x="8" s="1" nd="1"/>
        <i x="9" s="1" nd="1"/>
        <i x="10" s="1" nd="1"/>
        <i x="11" s="1" nd="1"/>
        <i x="12" s="1" nd="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72FD5FB-365F-445E-B9D4-125AC9364FC2}" sourceName="Department">
  <pivotTables>
    <pivotTable tabId="5" name="PivotTable3"/>
    <pivotTable tabId="5" name="PivotTable1"/>
    <pivotTable tabId="5" name="PivotTable2"/>
    <pivotTable tabId="7" name="PivotTable1"/>
    <pivotTable tabId="7" name="PivotTable3"/>
  </pivotTables>
  <data>
    <tabular pivotCacheId="1">
      <items count="8">
        <i x="4" s="1"/>
        <i x="0" s="1"/>
        <i x="5" s="1"/>
        <i x="6" s="1"/>
        <i x="2" s="1"/>
        <i x="7"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9DAD293-2E50-485B-B601-D9355ED48A2C}" sourceName="Category">
  <pivotTables>
    <pivotTable tabId="5" name="PivotTable3"/>
    <pivotTable tabId="5" name="PivotTable1"/>
    <pivotTable tabId="5" name="PivotTable2"/>
    <pivotTable tabId="7" name="PivotTable1"/>
    <pivotTable tabId="7" name="PivotTable3"/>
  </pivotTables>
  <data>
    <tabular pivotCacheId="1">
      <items count="8">
        <i x="6" s="1"/>
        <i x="7" s="1"/>
        <i x="5" s="1"/>
        <i x="4" s="1"/>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78F560E-C994-4745-BB3A-E145812DC13A}" cache="Slicer_Month" caption="Month" style="SlicerStyleLight6" rowHeight="225425"/>
  <slicer name="Department" xr10:uid="{E153467A-5FCB-4EFB-A482-191B0E76F42A}" cache="Slicer_Department" caption="Department" style="SlicerStyleLight6" rowHeight="225425"/>
  <slicer name="Category" xr10:uid="{D9565542-258E-4040-8335-A4D60742CA46}" cache="Slicer_Category" caption="Category" style="SlicerStyleLight6"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5E032B-FFE2-458D-B5F3-7EED28AFDC48}" name="Table1" displayName="Table1" ref="A1:K109" totalsRowShown="0" dataDxfId="13">
  <autoFilter ref="A1:K109" xr:uid="{22116848-280D-4FCF-BB74-622651936645}"/>
  <tableColumns count="11">
    <tableColumn id="1" xr3:uid="{D751F774-B1E8-4981-B88E-FDD667437B77}" name="Month" dataDxfId="12"/>
    <tableColumn id="2" xr3:uid="{05AB636B-2883-44AC-AB2D-769E74FCDB6A}" name="Department" dataDxfId="11"/>
    <tableColumn id="3" xr3:uid="{3E0370E5-3C3F-4D71-9E9E-893463C536C5}" name="Category" dataDxfId="10"/>
    <tableColumn id="4" xr3:uid="{1591A00C-3F4C-4265-9FB4-098241E978BB}" name="Budget_Annual" dataDxfId="9"/>
    <tableColumn id="5" xr3:uid="{0B5B02A8-768A-4B45-A842-A56695E18F32}" name="Budget_Monthly" dataDxfId="8"/>
    <tableColumn id="6" xr3:uid="{9B391704-68F9-4F98-A2BF-C16F753B76F4}" name="Actual_Spend" dataDxfId="7"/>
    <tableColumn id="7" xr3:uid="{B3207C87-A85A-4067-B764-4539ECE5D8E3}" name="Variance_Amount" dataDxfId="6"/>
    <tableColumn id="8" xr3:uid="{10871000-03E4-4740-9A68-BB01C740FE7B}" name="Variance_Percent" dataDxfId="5"/>
    <tableColumn id="9" xr3:uid="{D499E990-C423-49FF-9F30-FA163F8CF756}" name="Headcount" dataDxfId="4"/>
    <tableColumn id="10" xr3:uid="{9C96F2D9-63E2-4A11-B316-16864B4C6F13}" name="Spend_Per_Employee" dataDxfId="3"/>
    <tableColumn id="12" xr3:uid="{3E009471-987D-42B4-BCFD-AA2AAB03E0DA}" name="Difference" dataDxfId="2">
      <calculatedColumnFormula>Table1[[#This Row],[Actual_Spend]] -Table1[[#This Row],[Budget_Monthly]]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09"/>
  <sheetViews>
    <sheetView workbookViewId="0"/>
  </sheetViews>
  <sheetFormatPr defaultColWidth="12.59765625" defaultRowHeight="15.75" customHeight="1" x14ac:dyDescent="0.35"/>
  <sheetData>
    <row r="1" spans="1:11" ht="15.75" customHeight="1" x14ac:dyDescent="0.35">
      <c r="A1" s="1" t="s">
        <v>0</v>
      </c>
      <c r="B1" s="1" t="s">
        <v>1</v>
      </c>
      <c r="C1" s="1" t="s">
        <v>2</v>
      </c>
      <c r="D1" s="1" t="s">
        <v>3</v>
      </c>
      <c r="E1" s="1" t="s">
        <v>4</v>
      </c>
      <c r="F1" s="1" t="s">
        <v>5</v>
      </c>
      <c r="G1" s="1" t="s">
        <v>6</v>
      </c>
      <c r="H1" s="1" t="s">
        <v>7</v>
      </c>
      <c r="I1" s="1" t="s">
        <v>8</v>
      </c>
      <c r="J1" s="1" t="s">
        <v>9</v>
      </c>
      <c r="K1" s="1" t="s">
        <v>10</v>
      </c>
    </row>
    <row r="2" spans="1:11" ht="15.75" customHeight="1" x14ac:dyDescent="0.35">
      <c r="A2" s="2">
        <v>45658</v>
      </c>
      <c r="B2" s="1" t="s">
        <v>11</v>
      </c>
      <c r="C2" s="1" t="s">
        <v>12</v>
      </c>
      <c r="D2" s="1">
        <v>18000000</v>
      </c>
      <c r="E2" s="1">
        <v>1500000</v>
      </c>
      <c r="F2" s="1">
        <v>1520000</v>
      </c>
      <c r="G2" s="1">
        <v>-20000</v>
      </c>
      <c r="H2" s="1">
        <v>-1.3</v>
      </c>
      <c r="I2" s="1">
        <v>125</v>
      </c>
      <c r="J2" s="1">
        <v>12160</v>
      </c>
      <c r="K2" s="1" t="s">
        <v>13</v>
      </c>
    </row>
    <row r="3" spans="1:11" ht="15.75" customHeight="1" x14ac:dyDescent="0.35">
      <c r="A3" s="2">
        <v>45658</v>
      </c>
      <c r="B3" s="1" t="s">
        <v>11</v>
      </c>
      <c r="C3" s="1" t="s">
        <v>14</v>
      </c>
      <c r="D3" s="1">
        <v>1200000</v>
      </c>
      <c r="E3" s="1">
        <v>100000</v>
      </c>
      <c r="F3" s="1">
        <v>95000</v>
      </c>
      <c r="G3" s="1">
        <v>5000</v>
      </c>
      <c r="H3" s="1">
        <v>5</v>
      </c>
      <c r="I3" s="1">
        <v>125</v>
      </c>
      <c r="J3" s="1">
        <v>760</v>
      </c>
      <c r="K3" s="1" t="s">
        <v>15</v>
      </c>
    </row>
    <row r="4" spans="1:11" ht="15.75" customHeight="1" x14ac:dyDescent="0.35">
      <c r="A4" s="2">
        <v>45658</v>
      </c>
      <c r="B4" s="1" t="s">
        <v>11</v>
      </c>
      <c r="C4" s="1" t="s">
        <v>16</v>
      </c>
      <c r="D4" s="1">
        <v>360000</v>
      </c>
      <c r="E4" s="1">
        <v>30000</v>
      </c>
      <c r="F4" s="1">
        <v>45000</v>
      </c>
      <c r="G4" s="1">
        <v>-15000</v>
      </c>
      <c r="H4" s="1">
        <v>-50</v>
      </c>
      <c r="I4" s="1">
        <v>125</v>
      </c>
      <c r="J4" s="1">
        <v>360</v>
      </c>
      <c r="K4" s="1" t="s">
        <v>17</v>
      </c>
    </row>
    <row r="5" spans="1:11" ht="15.75" customHeight="1" x14ac:dyDescent="0.35">
      <c r="A5" s="2">
        <v>45658</v>
      </c>
      <c r="B5" s="1" t="s">
        <v>11</v>
      </c>
      <c r="C5" s="1" t="s">
        <v>18</v>
      </c>
      <c r="D5" s="1">
        <v>120000</v>
      </c>
      <c r="E5" s="1">
        <v>10000</v>
      </c>
      <c r="F5" s="1">
        <v>8500</v>
      </c>
      <c r="G5" s="1">
        <v>1500</v>
      </c>
      <c r="H5" s="1">
        <v>15</v>
      </c>
      <c r="I5" s="1">
        <v>125</v>
      </c>
      <c r="J5" s="1">
        <v>68</v>
      </c>
      <c r="K5" s="1" t="s">
        <v>19</v>
      </c>
    </row>
    <row r="6" spans="1:11" ht="15.75" customHeight="1" x14ac:dyDescent="0.35">
      <c r="A6" s="2">
        <v>45658</v>
      </c>
      <c r="B6" s="1" t="s">
        <v>11</v>
      </c>
      <c r="C6" s="1" t="s">
        <v>20</v>
      </c>
      <c r="D6" s="1">
        <v>240000</v>
      </c>
      <c r="E6" s="1">
        <v>20000</v>
      </c>
      <c r="F6" s="1">
        <v>18500</v>
      </c>
      <c r="G6" s="1">
        <v>1500</v>
      </c>
      <c r="H6" s="1">
        <v>7.5</v>
      </c>
      <c r="I6" s="1">
        <v>125</v>
      </c>
      <c r="J6" s="1">
        <v>148</v>
      </c>
      <c r="K6" s="1" t="s">
        <v>21</v>
      </c>
    </row>
    <row r="7" spans="1:11" ht="15.75" customHeight="1" x14ac:dyDescent="0.35">
      <c r="A7" s="2">
        <v>45658</v>
      </c>
      <c r="B7" s="1" t="s">
        <v>22</v>
      </c>
      <c r="C7" s="1" t="s">
        <v>12</v>
      </c>
      <c r="D7" s="1">
        <v>7200000</v>
      </c>
      <c r="E7" s="1">
        <v>600000</v>
      </c>
      <c r="F7" s="1">
        <v>595000</v>
      </c>
      <c r="G7" s="1">
        <v>5000</v>
      </c>
      <c r="H7" s="1">
        <v>0.8</v>
      </c>
      <c r="I7" s="1">
        <v>45</v>
      </c>
      <c r="J7" s="1">
        <v>13222</v>
      </c>
      <c r="K7" s="1" t="s">
        <v>23</v>
      </c>
    </row>
    <row r="8" spans="1:11" ht="15.75" customHeight="1" x14ac:dyDescent="0.35">
      <c r="A8" s="2">
        <v>45658</v>
      </c>
      <c r="B8" s="1" t="s">
        <v>22</v>
      </c>
      <c r="C8" s="1" t="s">
        <v>14</v>
      </c>
      <c r="D8" s="1">
        <v>300000</v>
      </c>
      <c r="E8" s="1">
        <v>25000</v>
      </c>
      <c r="F8" s="1">
        <v>28000</v>
      </c>
      <c r="G8" s="1">
        <v>-3000</v>
      </c>
      <c r="H8" s="1">
        <v>-12</v>
      </c>
      <c r="I8" s="1">
        <v>45</v>
      </c>
      <c r="J8" s="1">
        <v>622</v>
      </c>
      <c r="K8" s="1" t="s">
        <v>24</v>
      </c>
    </row>
    <row r="9" spans="1:11" ht="15.75" customHeight="1" x14ac:dyDescent="0.35">
      <c r="A9" s="2">
        <v>45658</v>
      </c>
      <c r="B9" s="1" t="s">
        <v>22</v>
      </c>
      <c r="C9" s="1" t="s">
        <v>18</v>
      </c>
      <c r="D9" s="1">
        <v>480000</v>
      </c>
      <c r="E9" s="1">
        <v>40000</v>
      </c>
      <c r="F9" s="1">
        <v>52000</v>
      </c>
      <c r="G9" s="1">
        <v>-12000</v>
      </c>
      <c r="H9" s="1">
        <v>-30</v>
      </c>
      <c r="I9" s="1">
        <v>45</v>
      </c>
      <c r="J9" s="1">
        <v>1156</v>
      </c>
      <c r="K9" s="1" t="s">
        <v>25</v>
      </c>
    </row>
    <row r="10" spans="1:11" ht="15.75" customHeight="1" x14ac:dyDescent="0.35">
      <c r="A10" s="2">
        <v>45658</v>
      </c>
      <c r="B10" s="1" t="s">
        <v>22</v>
      </c>
      <c r="C10" s="1" t="s">
        <v>26</v>
      </c>
      <c r="D10" s="1">
        <v>360000</v>
      </c>
      <c r="E10" s="1">
        <v>30000</v>
      </c>
      <c r="F10" s="1">
        <v>32000</v>
      </c>
      <c r="G10" s="1">
        <v>-2000</v>
      </c>
      <c r="H10" s="1">
        <v>-6.7</v>
      </c>
      <c r="I10" s="1">
        <v>45</v>
      </c>
      <c r="J10" s="1">
        <v>711</v>
      </c>
      <c r="K10" s="1" t="s">
        <v>27</v>
      </c>
    </row>
    <row r="11" spans="1:11" ht="15.75" customHeight="1" x14ac:dyDescent="0.35">
      <c r="A11" s="2">
        <v>45658</v>
      </c>
      <c r="B11" s="1" t="s">
        <v>22</v>
      </c>
      <c r="C11" s="1" t="s">
        <v>20</v>
      </c>
      <c r="D11" s="1">
        <v>180000</v>
      </c>
      <c r="E11" s="1">
        <v>15000</v>
      </c>
      <c r="F11" s="1">
        <v>14200</v>
      </c>
      <c r="G11" s="1">
        <v>800</v>
      </c>
      <c r="H11" s="1">
        <v>5.3</v>
      </c>
      <c r="I11" s="1">
        <v>45</v>
      </c>
      <c r="J11" s="1">
        <v>316</v>
      </c>
      <c r="K11" s="1" t="s">
        <v>28</v>
      </c>
    </row>
    <row r="12" spans="1:11" ht="15.75" customHeight="1" x14ac:dyDescent="0.35">
      <c r="A12" s="2">
        <v>45658</v>
      </c>
      <c r="B12" s="1" t="s">
        <v>26</v>
      </c>
      <c r="C12" s="1" t="s">
        <v>12</v>
      </c>
      <c r="D12" s="1">
        <v>3600000</v>
      </c>
      <c r="E12" s="1">
        <v>300000</v>
      </c>
      <c r="F12" s="1">
        <v>305000</v>
      </c>
      <c r="G12" s="1">
        <v>-5000</v>
      </c>
      <c r="H12" s="1">
        <v>-1.7</v>
      </c>
      <c r="I12" s="1">
        <v>25</v>
      </c>
      <c r="J12" s="1">
        <v>12200</v>
      </c>
      <c r="K12" s="1" t="s">
        <v>29</v>
      </c>
    </row>
    <row r="13" spans="1:11" ht="15.75" customHeight="1" x14ac:dyDescent="0.35">
      <c r="A13" s="2">
        <v>45658</v>
      </c>
      <c r="B13" s="1" t="s">
        <v>26</v>
      </c>
      <c r="C13" s="1" t="s">
        <v>14</v>
      </c>
      <c r="D13" s="1">
        <v>600000</v>
      </c>
      <c r="E13" s="1">
        <v>50000</v>
      </c>
      <c r="F13" s="1">
        <v>48000</v>
      </c>
      <c r="G13" s="1">
        <v>2000</v>
      </c>
      <c r="H13" s="1">
        <v>4</v>
      </c>
      <c r="I13" s="1">
        <v>25</v>
      </c>
      <c r="J13" s="1">
        <v>1920</v>
      </c>
      <c r="K13" s="1" t="s">
        <v>30</v>
      </c>
    </row>
    <row r="14" spans="1:11" ht="15.75" customHeight="1" x14ac:dyDescent="0.35">
      <c r="A14" s="2">
        <v>45658</v>
      </c>
      <c r="B14" s="1" t="s">
        <v>26</v>
      </c>
      <c r="C14" s="1" t="s">
        <v>31</v>
      </c>
      <c r="D14" s="1">
        <v>2400000</v>
      </c>
      <c r="E14" s="1">
        <v>200000</v>
      </c>
      <c r="F14" s="1">
        <v>195000</v>
      </c>
      <c r="G14" s="1">
        <v>5000</v>
      </c>
      <c r="H14" s="1">
        <v>2.5</v>
      </c>
      <c r="I14" s="1">
        <v>25</v>
      </c>
      <c r="J14" s="1">
        <v>7800</v>
      </c>
      <c r="K14" s="1" t="s">
        <v>32</v>
      </c>
    </row>
    <row r="15" spans="1:11" ht="15.75" customHeight="1" x14ac:dyDescent="0.35">
      <c r="A15" s="2">
        <v>45658</v>
      </c>
      <c r="B15" s="1" t="s">
        <v>26</v>
      </c>
      <c r="C15" s="1" t="s">
        <v>16</v>
      </c>
      <c r="D15" s="1">
        <v>240000</v>
      </c>
      <c r="E15" s="1">
        <v>20000</v>
      </c>
      <c r="F15" s="1">
        <v>25000</v>
      </c>
      <c r="G15" s="1">
        <v>-5000</v>
      </c>
      <c r="H15" s="1">
        <v>-25</v>
      </c>
      <c r="I15" s="1">
        <v>25</v>
      </c>
      <c r="J15" s="1">
        <v>1000</v>
      </c>
      <c r="K15" s="1" t="s">
        <v>33</v>
      </c>
    </row>
    <row r="16" spans="1:11" ht="15.75" customHeight="1" x14ac:dyDescent="0.35">
      <c r="A16" s="2">
        <v>45658</v>
      </c>
      <c r="B16" s="1" t="s">
        <v>26</v>
      </c>
      <c r="C16" s="1" t="s">
        <v>18</v>
      </c>
      <c r="D16" s="1">
        <v>120000</v>
      </c>
      <c r="E16" s="1">
        <v>10000</v>
      </c>
      <c r="F16" s="1">
        <v>12000</v>
      </c>
      <c r="G16" s="1">
        <v>-2000</v>
      </c>
      <c r="H16" s="1">
        <v>-20</v>
      </c>
      <c r="I16" s="1">
        <v>25</v>
      </c>
      <c r="J16" s="1">
        <v>480</v>
      </c>
      <c r="K16" s="1" t="s">
        <v>34</v>
      </c>
    </row>
    <row r="17" spans="1:11" ht="15.75" customHeight="1" x14ac:dyDescent="0.35">
      <c r="A17" s="2">
        <v>45658</v>
      </c>
      <c r="B17" s="1" t="s">
        <v>35</v>
      </c>
      <c r="C17" s="1" t="s">
        <v>12</v>
      </c>
      <c r="D17" s="1">
        <v>4800000</v>
      </c>
      <c r="E17" s="1">
        <v>400000</v>
      </c>
      <c r="F17" s="1">
        <v>410000</v>
      </c>
      <c r="G17" s="1">
        <v>-10000</v>
      </c>
      <c r="H17" s="1">
        <v>-2.5</v>
      </c>
      <c r="I17" s="1">
        <v>35</v>
      </c>
      <c r="J17" s="1">
        <v>11714</v>
      </c>
      <c r="K17" s="1" t="s">
        <v>36</v>
      </c>
    </row>
    <row r="18" spans="1:11" ht="15.75" customHeight="1" x14ac:dyDescent="0.35">
      <c r="A18" s="2">
        <v>45658</v>
      </c>
      <c r="B18" s="1" t="s">
        <v>35</v>
      </c>
      <c r="C18" s="1" t="s">
        <v>14</v>
      </c>
      <c r="D18" s="1">
        <v>180000</v>
      </c>
      <c r="E18" s="1">
        <v>15000</v>
      </c>
      <c r="F18" s="1">
        <v>16000</v>
      </c>
      <c r="G18" s="1">
        <v>-1000</v>
      </c>
      <c r="H18" s="1">
        <v>-6.7</v>
      </c>
      <c r="I18" s="1">
        <v>35</v>
      </c>
      <c r="J18" s="1">
        <v>457</v>
      </c>
      <c r="K18" s="1" t="s">
        <v>37</v>
      </c>
    </row>
    <row r="19" spans="1:11" ht="15.75" customHeight="1" x14ac:dyDescent="0.35">
      <c r="A19" s="2">
        <v>45658</v>
      </c>
      <c r="B19" s="1" t="s">
        <v>35</v>
      </c>
      <c r="C19" s="1" t="s">
        <v>16</v>
      </c>
      <c r="D19" s="1">
        <v>120000</v>
      </c>
      <c r="E19" s="1">
        <v>10000</v>
      </c>
      <c r="F19" s="1">
        <v>8500</v>
      </c>
      <c r="G19" s="1">
        <v>1500</v>
      </c>
      <c r="H19" s="1">
        <v>15</v>
      </c>
      <c r="I19" s="1">
        <v>35</v>
      </c>
      <c r="J19" s="1">
        <v>243</v>
      </c>
      <c r="K19" s="1" t="s">
        <v>38</v>
      </c>
    </row>
    <row r="20" spans="1:11" ht="15.75" customHeight="1" x14ac:dyDescent="0.35">
      <c r="A20" s="2">
        <v>45658</v>
      </c>
      <c r="B20" s="1" t="s">
        <v>35</v>
      </c>
      <c r="C20" s="1" t="s">
        <v>18</v>
      </c>
      <c r="D20" s="1">
        <v>60000</v>
      </c>
      <c r="E20" s="1">
        <v>5000</v>
      </c>
      <c r="F20" s="1">
        <v>4200</v>
      </c>
      <c r="G20" s="1">
        <v>800</v>
      </c>
      <c r="H20" s="1">
        <v>16</v>
      </c>
      <c r="I20" s="1">
        <v>35</v>
      </c>
      <c r="J20" s="1">
        <v>120</v>
      </c>
      <c r="K20" s="1" t="s">
        <v>39</v>
      </c>
    </row>
    <row r="21" spans="1:11" ht="15.75" customHeight="1" x14ac:dyDescent="0.35">
      <c r="A21" s="2">
        <v>45658</v>
      </c>
      <c r="B21" s="1" t="s">
        <v>40</v>
      </c>
      <c r="C21" s="1" t="s">
        <v>12</v>
      </c>
      <c r="D21" s="1">
        <v>2400000</v>
      </c>
      <c r="E21" s="1">
        <v>200000</v>
      </c>
      <c r="F21" s="1">
        <v>198000</v>
      </c>
      <c r="G21" s="1">
        <v>2000</v>
      </c>
      <c r="H21" s="1">
        <v>1</v>
      </c>
      <c r="I21" s="1">
        <v>30</v>
      </c>
      <c r="J21" s="1">
        <v>6600</v>
      </c>
      <c r="K21" s="1" t="s">
        <v>41</v>
      </c>
    </row>
    <row r="22" spans="1:11" ht="15.75" customHeight="1" x14ac:dyDescent="0.35">
      <c r="A22" s="2">
        <v>45658</v>
      </c>
      <c r="B22" s="1" t="s">
        <v>40</v>
      </c>
      <c r="C22" s="1" t="s">
        <v>14</v>
      </c>
      <c r="D22" s="1">
        <v>120000</v>
      </c>
      <c r="E22" s="1">
        <v>10000</v>
      </c>
      <c r="F22" s="1">
        <v>11000</v>
      </c>
      <c r="G22" s="1">
        <v>-1000</v>
      </c>
      <c r="H22" s="1">
        <v>-10</v>
      </c>
      <c r="I22" s="1">
        <v>30</v>
      </c>
      <c r="J22" s="1">
        <v>367</v>
      </c>
      <c r="K22" s="1" t="s">
        <v>42</v>
      </c>
    </row>
    <row r="23" spans="1:11" ht="15.75" customHeight="1" x14ac:dyDescent="0.35">
      <c r="A23" s="2">
        <v>45658</v>
      </c>
      <c r="B23" s="1" t="s">
        <v>40</v>
      </c>
      <c r="C23" s="1" t="s">
        <v>18</v>
      </c>
      <c r="D23" s="1">
        <v>96000</v>
      </c>
      <c r="E23" s="1">
        <v>8000</v>
      </c>
      <c r="F23" s="1">
        <v>9500</v>
      </c>
      <c r="G23" s="1">
        <v>-1500</v>
      </c>
      <c r="H23" s="1">
        <v>-18.8</v>
      </c>
      <c r="I23" s="1">
        <v>30</v>
      </c>
      <c r="J23" s="1">
        <v>317</v>
      </c>
      <c r="K23" s="1" t="s">
        <v>43</v>
      </c>
    </row>
    <row r="24" spans="1:11" ht="15.75" customHeight="1" x14ac:dyDescent="0.35">
      <c r="A24" s="2">
        <v>45658</v>
      </c>
      <c r="B24" s="1" t="s">
        <v>40</v>
      </c>
      <c r="C24" s="1" t="s">
        <v>20</v>
      </c>
      <c r="D24" s="1">
        <v>72000</v>
      </c>
      <c r="E24" s="1">
        <v>6000</v>
      </c>
      <c r="F24" s="1">
        <v>5800</v>
      </c>
      <c r="G24" s="1">
        <v>200</v>
      </c>
      <c r="H24" s="1">
        <v>3.3</v>
      </c>
      <c r="I24" s="1">
        <v>30</v>
      </c>
      <c r="J24" s="1">
        <v>193</v>
      </c>
      <c r="K24" s="1" t="s">
        <v>44</v>
      </c>
    </row>
    <row r="25" spans="1:11" ht="15.75" customHeight="1" x14ac:dyDescent="0.35">
      <c r="A25" s="2">
        <v>45658</v>
      </c>
      <c r="B25" s="1" t="s">
        <v>45</v>
      </c>
      <c r="C25" s="1" t="s">
        <v>12</v>
      </c>
      <c r="D25" s="1">
        <v>1800000</v>
      </c>
      <c r="E25" s="1">
        <v>150000</v>
      </c>
      <c r="F25" s="1">
        <v>148000</v>
      </c>
      <c r="G25" s="1">
        <v>2000</v>
      </c>
      <c r="H25" s="1">
        <v>1.3</v>
      </c>
      <c r="I25" s="1">
        <v>12</v>
      </c>
      <c r="J25" s="1">
        <v>12333</v>
      </c>
      <c r="K25" s="1" t="s">
        <v>46</v>
      </c>
    </row>
    <row r="26" spans="1:11" ht="15.75" customHeight="1" x14ac:dyDescent="0.35">
      <c r="A26" s="2">
        <v>45658</v>
      </c>
      <c r="B26" s="1" t="s">
        <v>45</v>
      </c>
      <c r="C26" s="1" t="s">
        <v>14</v>
      </c>
      <c r="D26" s="1">
        <v>120000</v>
      </c>
      <c r="E26" s="1">
        <v>10000</v>
      </c>
      <c r="F26" s="1">
        <v>9500</v>
      </c>
      <c r="G26" s="1">
        <v>500</v>
      </c>
      <c r="H26" s="1">
        <v>5</v>
      </c>
      <c r="I26" s="1">
        <v>12</v>
      </c>
      <c r="J26" s="1">
        <v>792</v>
      </c>
      <c r="K26" s="1" t="s">
        <v>47</v>
      </c>
    </row>
    <row r="27" spans="1:11" ht="15.75" customHeight="1" x14ac:dyDescent="0.35">
      <c r="A27" s="2">
        <v>45658</v>
      </c>
      <c r="B27" s="1" t="s">
        <v>45</v>
      </c>
      <c r="C27" s="1" t="s">
        <v>16</v>
      </c>
      <c r="D27" s="1">
        <v>240000</v>
      </c>
      <c r="E27" s="1">
        <v>20000</v>
      </c>
      <c r="F27" s="1">
        <v>22000</v>
      </c>
      <c r="G27" s="1">
        <v>-2000</v>
      </c>
      <c r="H27" s="1">
        <v>-10</v>
      </c>
      <c r="I27" s="1">
        <v>12</v>
      </c>
      <c r="J27" s="1">
        <v>1833</v>
      </c>
      <c r="K27" s="1" t="s">
        <v>48</v>
      </c>
    </row>
    <row r="28" spans="1:11" ht="15.75" customHeight="1" x14ac:dyDescent="0.35">
      <c r="A28" s="2">
        <v>45658</v>
      </c>
      <c r="B28" s="1" t="s">
        <v>45</v>
      </c>
      <c r="C28" s="1" t="s">
        <v>20</v>
      </c>
      <c r="D28" s="1">
        <v>60000</v>
      </c>
      <c r="E28" s="1">
        <v>5000</v>
      </c>
      <c r="F28" s="1">
        <v>4800</v>
      </c>
      <c r="G28" s="1">
        <v>200</v>
      </c>
      <c r="H28" s="1">
        <v>4</v>
      </c>
      <c r="I28" s="1">
        <v>12</v>
      </c>
      <c r="J28" s="1">
        <v>400</v>
      </c>
      <c r="K28" s="1" t="s">
        <v>49</v>
      </c>
    </row>
    <row r="29" spans="1:11" ht="15.75" customHeight="1" x14ac:dyDescent="0.35">
      <c r="A29" s="2">
        <v>45658</v>
      </c>
      <c r="B29" s="1" t="s">
        <v>50</v>
      </c>
      <c r="C29" s="1" t="s">
        <v>12</v>
      </c>
      <c r="D29" s="1">
        <v>1200000</v>
      </c>
      <c r="E29" s="1">
        <v>100000</v>
      </c>
      <c r="F29" s="1">
        <v>102000</v>
      </c>
      <c r="G29" s="1">
        <v>-2000</v>
      </c>
      <c r="H29" s="1">
        <v>-2</v>
      </c>
      <c r="I29" s="1">
        <v>8</v>
      </c>
      <c r="J29" s="1">
        <v>12750</v>
      </c>
      <c r="K29" s="1" t="s">
        <v>51</v>
      </c>
    </row>
    <row r="30" spans="1:11" ht="15.75" customHeight="1" x14ac:dyDescent="0.35">
      <c r="A30" s="2">
        <v>45658</v>
      </c>
      <c r="B30" s="1" t="s">
        <v>50</v>
      </c>
      <c r="C30" s="1" t="s">
        <v>14</v>
      </c>
      <c r="D30" s="1">
        <v>96000</v>
      </c>
      <c r="E30" s="1">
        <v>8000</v>
      </c>
      <c r="F30" s="1">
        <v>8500</v>
      </c>
      <c r="G30" s="1">
        <v>-500</v>
      </c>
      <c r="H30" s="1">
        <v>-6.3</v>
      </c>
      <c r="I30" s="1">
        <v>8</v>
      </c>
      <c r="J30" s="1">
        <v>1063</v>
      </c>
      <c r="K30" s="1" t="s">
        <v>52</v>
      </c>
    </row>
    <row r="31" spans="1:11" ht="15.75" customHeight="1" x14ac:dyDescent="0.35">
      <c r="A31" s="2">
        <v>45658</v>
      </c>
      <c r="B31" s="1" t="s">
        <v>50</v>
      </c>
      <c r="C31" s="1" t="s">
        <v>16</v>
      </c>
      <c r="D31" s="1">
        <v>144000</v>
      </c>
      <c r="E31" s="1">
        <v>12000</v>
      </c>
      <c r="F31" s="1">
        <v>15000</v>
      </c>
      <c r="G31" s="1">
        <v>-3000</v>
      </c>
      <c r="H31" s="1">
        <v>-25</v>
      </c>
      <c r="I31" s="1">
        <v>8</v>
      </c>
      <c r="J31" s="1">
        <v>1875</v>
      </c>
      <c r="K31" s="1" t="s">
        <v>53</v>
      </c>
    </row>
    <row r="32" spans="1:11" ht="15.75" customHeight="1" x14ac:dyDescent="0.35">
      <c r="A32" s="2">
        <v>45658</v>
      </c>
      <c r="B32" s="1" t="s">
        <v>50</v>
      </c>
      <c r="C32" s="1" t="s">
        <v>20</v>
      </c>
      <c r="D32" s="1">
        <v>72000</v>
      </c>
      <c r="E32" s="1">
        <v>6000</v>
      </c>
      <c r="F32" s="1">
        <v>5500</v>
      </c>
      <c r="G32" s="1">
        <v>500</v>
      </c>
      <c r="H32" s="1">
        <v>8.3000000000000007</v>
      </c>
      <c r="I32" s="1">
        <v>8</v>
      </c>
      <c r="J32" s="1">
        <v>688</v>
      </c>
      <c r="K32" s="1" t="s">
        <v>54</v>
      </c>
    </row>
    <row r="33" spans="1:11" ht="15.75" customHeight="1" x14ac:dyDescent="0.35">
      <c r="A33" s="2">
        <v>45658</v>
      </c>
      <c r="B33" s="1" t="s">
        <v>20</v>
      </c>
      <c r="C33" s="1" t="s">
        <v>12</v>
      </c>
      <c r="D33" s="1">
        <v>1800000</v>
      </c>
      <c r="E33" s="1">
        <v>150000</v>
      </c>
      <c r="F33" s="1">
        <v>145000</v>
      </c>
      <c r="G33" s="1">
        <v>5000</v>
      </c>
      <c r="H33" s="1">
        <v>3.3</v>
      </c>
      <c r="I33" s="1">
        <v>20</v>
      </c>
      <c r="J33" s="1">
        <v>7250</v>
      </c>
      <c r="K33" s="1" t="s">
        <v>55</v>
      </c>
    </row>
    <row r="34" spans="1:11" ht="15.75" customHeight="1" x14ac:dyDescent="0.35">
      <c r="A34" s="2">
        <v>45658</v>
      </c>
      <c r="B34" s="1" t="s">
        <v>20</v>
      </c>
      <c r="C34" s="1" t="s">
        <v>14</v>
      </c>
      <c r="D34" s="1">
        <v>360000</v>
      </c>
      <c r="E34" s="1">
        <v>30000</v>
      </c>
      <c r="F34" s="1">
        <v>32000</v>
      </c>
      <c r="G34" s="1">
        <v>-2000</v>
      </c>
      <c r="H34" s="1">
        <v>-6.7</v>
      </c>
      <c r="I34" s="1">
        <v>20</v>
      </c>
      <c r="J34" s="1">
        <v>1600</v>
      </c>
      <c r="K34" s="1" t="s">
        <v>56</v>
      </c>
    </row>
    <row r="35" spans="1:11" ht="15.75" customHeight="1" x14ac:dyDescent="0.35">
      <c r="A35" s="2">
        <v>45658</v>
      </c>
      <c r="B35" s="1" t="s">
        <v>20</v>
      </c>
      <c r="C35" s="1" t="s">
        <v>16</v>
      </c>
      <c r="D35" s="1">
        <v>120000</v>
      </c>
      <c r="E35" s="1">
        <v>10000</v>
      </c>
      <c r="F35" s="1">
        <v>8000</v>
      </c>
      <c r="G35" s="1">
        <v>2000</v>
      </c>
      <c r="H35" s="1">
        <v>20</v>
      </c>
      <c r="I35" s="1">
        <v>20</v>
      </c>
      <c r="J35" s="1">
        <v>400</v>
      </c>
      <c r="K35" s="1" t="s">
        <v>57</v>
      </c>
    </row>
    <row r="36" spans="1:11" ht="15.75" customHeight="1" x14ac:dyDescent="0.35">
      <c r="A36" s="2">
        <v>45658</v>
      </c>
      <c r="B36" s="1" t="s">
        <v>20</v>
      </c>
      <c r="C36" s="1" t="s">
        <v>18</v>
      </c>
      <c r="D36" s="1">
        <v>48000</v>
      </c>
      <c r="E36" s="1">
        <v>4000</v>
      </c>
      <c r="F36" s="1">
        <v>3500</v>
      </c>
      <c r="G36" s="1">
        <v>500</v>
      </c>
      <c r="H36" s="1">
        <v>12.5</v>
      </c>
      <c r="I36" s="1">
        <v>20</v>
      </c>
      <c r="J36" s="1">
        <v>175</v>
      </c>
      <c r="K36" s="1" t="s">
        <v>58</v>
      </c>
    </row>
    <row r="37" spans="1:11" ht="15.75" customHeight="1" x14ac:dyDescent="0.35">
      <c r="A37" s="2">
        <v>45658</v>
      </c>
      <c r="B37" s="1" t="s">
        <v>20</v>
      </c>
      <c r="C37" s="1" t="s">
        <v>59</v>
      </c>
      <c r="D37" s="1">
        <v>480000</v>
      </c>
      <c r="E37" s="1">
        <v>40000</v>
      </c>
      <c r="F37" s="1">
        <v>38000</v>
      </c>
      <c r="G37" s="1">
        <v>2000</v>
      </c>
      <c r="H37" s="1">
        <v>5</v>
      </c>
      <c r="I37" s="1">
        <v>20</v>
      </c>
      <c r="J37" s="1">
        <v>1900</v>
      </c>
      <c r="K37" s="1" t="s">
        <v>60</v>
      </c>
    </row>
    <row r="38" spans="1:11" ht="12.75" x14ac:dyDescent="0.35">
      <c r="A38" s="2">
        <v>45689</v>
      </c>
      <c r="B38" s="1" t="s">
        <v>11</v>
      </c>
      <c r="C38" s="1" t="s">
        <v>12</v>
      </c>
      <c r="D38" s="1">
        <v>18000000</v>
      </c>
      <c r="E38" s="1">
        <v>1500000</v>
      </c>
      <c r="F38" s="1">
        <v>1535000</v>
      </c>
      <c r="G38" s="1">
        <v>-35000</v>
      </c>
      <c r="H38" s="1">
        <v>-2.2999999999999998</v>
      </c>
      <c r="I38" s="1">
        <v>128</v>
      </c>
      <c r="J38" s="1">
        <v>11992</v>
      </c>
      <c r="K38" s="1" t="s">
        <v>61</v>
      </c>
    </row>
    <row r="39" spans="1:11" ht="12.75" x14ac:dyDescent="0.35">
      <c r="A39" s="2">
        <v>45689</v>
      </c>
      <c r="B39" s="1" t="s">
        <v>11</v>
      </c>
      <c r="C39" s="1" t="s">
        <v>14</v>
      </c>
      <c r="D39" s="1">
        <v>1200000</v>
      </c>
      <c r="E39" s="1">
        <v>100000</v>
      </c>
      <c r="F39" s="1">
        <v>102000</v>
      </c>
      <c r="G39" s="1">
        <v>-2000</v>
      </c>
      <c r="H39" s="1">
        <v>-2</v>
      </c>
      <c r="I39" s="1">
        <v>128</v>
      </c>
      <c r="J39" s="1">
        <v>797</v>
      </c>
      <c r="K39" s="1" t="s">
        <v>62</v>
      </c>
    </row>
    <row r="40" spans="1:11" ht="12.75" x14ac:dyDescent="0.35">
      <c r="A40" s="2">
        <v>45689</v>
      </c>
      <c r="B40" s="1" t="s">
        <v>11</v>
      </c>
      <c r="C40" s="1" t="s">
        <v>16</v>
      </c>
      <c r="D40" s="1">
        <v>360000</v>
      </c>
      <c r="E40" s="1">
        <v>30000</v>
      </c>
      <c r="F40" s="1">
        <v>25000</v>
      </c>
      <c r="G40" s="1">
        <v>5000</v>
      </c>
      <c r="H40" s="1">
        <v>16.7</v>
      </c>
      <c r="I40" s="1">
        <v>128</v>
      </c>
      <c r="J40" s="1">
        <v>195</v>
      </c>
      <c r="K40" s="1" t="s">
        <v>63</v>
      </c>
    </row>
    <row r="41" spans="1:11" ht="12.75" x14ac:dyDescent="0.35">
      <c r="A41" s="2">
        <v>45689</v>
      </c>
      <c r="B41" s="1" t="s">
        <v>11</v>
      </c>
      <c r="C41" s="1" t="s">
        <v>18</v>
      </c>
      <c r="D41" s="1">
        <v>120000</v>
      </c>
      <c r="E41" s="1">
        <v>10000</v>
      </c>
      <c r="F41" s="1">
        <v>7500</v>
      </c>
      <c r="G41" s="1">
        <v>2500</v>
      </c>
      <c r="H41" s="1">
        <v>25</v>
      </c>
      <c r="I41" s="1">
        <v>128</v>
      </c>
      <c r="J41" s="1">
        <v>59</v>
      </c>
      <c r="K41" s="1" t="s">
        <v>64</v>
      </c>
    </row>
    <row r="42" spans="1:11" ht="12.75" x14ac:dyDescent="0.35">
      <c r="A42" s="2">
        <v>45689</v>
      </c>
      <c r="B42" s="1" t="s">
        <v>11</v>
      </c>
      <c r="C42" s="1" t="s">
        <v>20</v>
      </c>
      <c r="D42" s="1">
        <v>240000</v>
      </c>
      <c r="E42" s="1">
        <v>20000</v>
      </c>
      <c r="F42" s="1">
        <v>19000</v>
      </c>
      <c r="G42" s="1">
        <v>1000</v>
      </c>
      <c r="H42" s="1">
        <v>5</v>
      </c>
      <c r="I42" s="1">
        <v>128</v>
      </c>
      <c r="J42" s="1">
        <v>148</v>
      </c>
      <c r="K42" s="1" t="s">
        <v>65</v>
      </c>
    </row>
    <row r="43" spans="1:11" ht="12.75" x14ac:dyDescent="0.35">
      <c r="A43" s="2">
        <v>45689</v>
      </c>
      <c r="B43" s="1" t="s">
        <v>22</v>
      </c>
      <c r="C43" s="1" t="s">
        <v>12</v>
      </c>
      <c r="D43" s="1">
        <v>7200000</v>
      </c>
      <c r="E43" s="1">
        <v>600000</v>
      </c>
      <c r="F43" s="1">
        <v>610000</v>
      </c>
      <c r="G43" s="1">
        <v>-10000</v>
      </c>
      <c r="H43" s="1">
        <v>-1.7</v>
      </c>
      <c r="I43" s="1">
        <v>47</v>
      </c>
      <c r="J43" s="1">
        <v>12979</v>
      </c>
      <c r="K43" s="1" t="s">
        <v>66</v>
      </c>
    </row>
    <row r="44" spans="1:11" ht="12.75" x14ac:dyDescent="0.35">
      <c r="A44" s="2">
        <v>45689</v>
      </c>
      <c r="B44" s="1" t="s">
        <v>22</v>
      </c>
      <c r="C44" s="1" t="s">
        <v>14</v>
      </c>
      <c r="D44" s="1">
        <v>300000</v>
      </c>
      <c r="E44" s="1">
        <v>25000</v>
      </c>
      <c r="F44" s="1">
        <v>26000</v>
      </c>
      <c r="G44" s="1">
        <v>-1000</v>
      </c>
      <c r="H44" s="1">
        <v>-4</v>
      </c>
      <c r="I44" s="1">
        <v>47</v>
      </c>
      <c r="J44" s="1">
        <v>553</v>
      </c>
      <c r="K44" s="1" t="s">
        <v>67</v>
      </c>
    </row>
    <row r="45" spans="1:11" ht="12.75" x14ac:dyDescent="0.35">
      <c r="A45" s="2">
        <v>45689</v>
      </c>
      <c r="B45" s="1" t="s">
        <v>22</v>
      </c>
      <c r="C45" s="1" t="s">
        <v>18</v>
      </c>
      <c r="D45" s="1">
        <v>480000</v>
      </c>
      <c r="E45" s="1">
        <v>40000</v>
      </c>
      <c r="F45" s="1">
        <v>48000</v>
      </c>
      <c r="G45" s="1">
        <v>-8000</v>
      </c>
      <c r="H45" s="1">
        <v>-20</v>
      </c>
      <c r="I45" s="1">
        <v>47</v>
      </c>
      <c r="J45" s="1">
        <v>1021</v>
      </c>
      <c r="K45" s="1" t="s">
        <v>68</v>
      </c>
    </row>
    <row r="46" spans="1:11" ht="12.75" x14ac:dyDescent="0.35">
      <c r="A46" s="2">
        <v>45689</v>
      </c>
      <c r="B46" s="1" t="s">
        <v>22</v>
      </c>
      <c r="C46" s="1" t="s">
        <v>26</v>
      </c>
      <c r="D46" s="1">
        <v>360000</v>
      </c>
      <c r="E46" s="1">
        <v>30000</v>
      </c>
      <c r="F46" s="1">
        <v>28000</v>
      </c>
      <c r="G46" s="1">
        <v>2000</v>
      </c>
      <c r="H46" s="1">
        <v>6.7</v>
      </c>
      <c r="I46" s="1">
        <v>47</v>
      </c>
      <c r="J46" s="1">
        <v>596</v>
      </c>
      <c r="K46" s="1" t="s">
        <v>69</v>
      </c>
    </row>
    <row r="47" spans="1:11" ht="12.75" x14ac:dyDescent="0.35">
      <c r="A47" s="2">
        <v>45689</v>
      </c>
      <c r="B47" s="1" t="s">
        <v>22</v>
      </c>
      <c r="C47" s="1" t="s">
        <v>20</v>
      </c>
      <c r="D47" s="1">
        <v>180000</v>
      </c>
      <c r="E47" s="1">
        <v>15000</v>
      </c>
      <c r="F47" s="1">
        <v>15500</v>
      </c>
      <c r="G47" s="1">
        <v>-500</v>
      </c>
      <c r="H47" s="1">
        <v>-3.3</v>
      </c>
      <c r="I47" s="1">
        <v>47</v>
      </c>
      <c r="J47" s="1">
        <v>330</v>
      </c>
      <c r="K47" s="1" t="s">
        <v>70</v>
      </c>
    </row>
    <row r="48" spans="1:11" ht="12.75" x14ac:dyDescent="0.35">
      <c r="A48" s="2">
        <v>45689</v>
      </c>
      <c r="B48" s="1" t="s">
        <v>26</v>
      </c>
      <c r="C48" s="1" t="s">
        <v>12</v>
      </c>
      <c r="D48" s="1">
        <v>3600000</v>
      </c>
      <c r="E48" s="1">
        <v>300000</v>
      </c>
      <c r="F48" s="1">
        <v>308000</v>
      </c>
      <c r="G48" s="1">
        <v>-8000</v>
      </c>
      <c r="H48" s="1">
        <v>-2.7</v>
      </c>
      <c r="I48" s="1">
        <v>26</v>
      </c>
      <c r="J48" s="1">
        <v>11846</v>
      </c>
      <c r="K48" s="1" t="s">
        <v>71</v>
      </c>
    </row>
    <row r="49" spans="1:11" ht="12.75" x14ac:dyDescent="0.35">
      <c r="A49" s="2">
        <v>45689</v>
      </c>
      <c r="B49" s="1" t="s">
        <v>26</v>
      </c>
      <c r="C49" s="1" t="s">
        <v>14</v>
      </c>
      <c r="D49" s="1">
        <v>600000</v>
      </c>
      <c r="E49" s="1">
        <v>50000</v>
      </c>
      <c r="F49" s="1">
        <v>52000</v>
      </c>
      <c r="G49" s="1">
        <v>-2000</v>
      </c>
      <c r="H49" s="1">
        <v>-4</v>
      </c>
      <c r="I49" s="1">
        <v>26</v>
      </c>
      <c r="J49" s="1">
        <v>2000</v>
      </c>
      <c r="K49" s="1" t="s">
        <v>72</v>
      </c>
    </row>
    <row r="50" spans="1:11" ht="12.75" x14ac:dyDescent="0.35">
      <c r="A50" s="2">
        <v>45689</v>
      </c>
      <c r="B50" s="1" t="s">
        <v>26</v>
      </c>
      <c r="C50" s="1" t="s">
        <v>31</v>
      </c>
      <c r="D50" s="1">
        <v>2400000</v>
      </c>
      <c r="E50" s="1">
        <v>200000</v>
      </c>
      <c r="F50" s="1">
        <v>210000</v>
      </c>
      <c r="G50" s="1">
        <v>-10000</v>
      </c>
      <c r="H50" s="1">
        <v>-5</v>
      </c>
      <c r="I50" s="1">
        <v>26</v>
      </c>
      <c r="J50" s="1">
        <v>8077</v>
      </c>
      <c r="K50" s="1" t="s">
        <v>73</v>
      </c>
    </row>
    <row r="51" spans="1:11" ht="12.75" x14ac:dyDescent="0.35">
      <c r="A51" s="2">
        <v>45689</v>
      </c>
      <c r="B51" s="1" t="s">
        <v>26</v>
      </c>
      <c r="C51" s="1" t="s">
        <v>16</v>
      </c>
      <c r="D51" s="1">
        <v>240000</v>
      </c>
      <c r="E51" s="1">
        <v>20000</v>
      </c>
      <c r="F51" s="1">
        <v>18000</v>
      </c>
      <c r="G51" s="1">
        <v>2000</v>
      </c>
      <c r="H51" s="1">
        <v>10</v>
      </c>
      <c r="I51" s="1">
        <v>26</v>
      </c>
      <c r="J51" s="1">
        <v>692</v>
      </c>
      <c r="K51" s="1" t="s">
        <v>74</v>
      </c>
    </row>
    <row r="52" spans="1:11" ht="12.75" x14ac:dyDescent="0.35">
      <c r="A52" s="2">
        <v>45689</v>
      </c>
      <c r="B52" s="1" t="s">
        <v>26</v>
      </c>
      <c r="C52" s="1" t="s">
        <v>18</v>
      </c>
      <c r="D52" s="1">
        <v>120000</v>
      </c>
      <c r="E52" s="1">
        <v>10000</v>
      </c>
      <c r="F52" s="1">
        <v>8000</v>
      </c>
      <c r="G52" s="1">
        <v>2000</v>
      </c>
      <c r="H52" s="1">
        <v>20</v>
      </c>
      <c r="I52" s="1">
        <v>26</v>
      </c>
      <c r="J52" s="1">
        <v>308</v>
      </c>
      <c r="K52" s="1" t="s">
        <v>75</v>
      </c>
    </row>
    <row r="53" spans="1:11" ht="12.75" x14ac:dyDescent="0.35">
      <c r="A53" s="2">
        <v>45689</v>
      </c>
      <c r="B53" s="1" t="s">
        <v>35</v>
      </c>
      <c r="C53" s="1" t="s">
        <v>12</v>
      </c>
      <c r="D53" s="1">
        <v>4800000</v>
      </c>
      <c r="E53" s="1">
        <v>400000</v>
      </c>
      <c r="F53" s="1">
        <v>415000</v>
      </c>
      <c r="G53" s="1">
        <v>-15000</v>
      </c>
      <c r="H53" s="1">
        <v>-3.8</v>
      </c>
      <c r="I53" s="1">
        <v>36</v>
      </c>
      <c r="J53" s="1">
        <v>11528</v>
      </c>
      <c r="K53" s="1" t="s">
        <v>76</v>
      </c>
    </row>
    <row r="54" spans="1:11" ht="12.75" x14ac:dyDescent="0.35">
      <c r="A54" s="2">
        <v>45689</v>
      </c>
      <c r="B54" s="1" t="s">
        <v>35</v>
      </c>
      <c r="C54" s="1" t="s">
        <v>14</v>
      </c>
      <c r="D54" s="1">
        <v>180000</v>
      </c>
      <c r="E54" s="1">
        <v>15000</v>
      </c>
      <c r="F54" s="1">
        <v>15500</v>
      </c>
      <c r="G54" s="1">
        <v>-500</v>
      </c>
      <c r="H54" s="1">
        <v>-3.3</v>
      </c>
      <c r="I54" s="1">
        <v>36</v>
      </c>
      <c r="J54" s="1">
        <v>431</v>
      </c>
      <c r="K54" s="1" t="s">
        <v>77</v>
      </c>
    </row>
    <row r="55" spans="1:11" ht="12.75" x14ac:dyDescent="0.35">
      <c r="A55" s="2">
        <v>45689</v>
      </c>
      <c r="B55" s="1" t="s">
        <v>35</v>
      </c>
      <c r="C55" s="1" t="s">
        <v>16</v>
      </c>
      <c r="D55" s="1">
        <v>120000</v>
      </c>
      <c r="E55" s="1">
        <v>10000</v>
      </c>
      <c r="F55" s="1">
        <v>12000</v>
      </c>
      <c r="G55" s="1">
        <v>-2000</v>
      </c>
      <c r="H55" s="1">
        <v>-20</v>
      </c>
      <c r="I55" s="1">
        <v>36</v>
      </c>
      <c r="J55" s="1">
        <v>333</v>
      </c>
      <c r="K55" s="1" t="s">
        <v>78</v>
      </c>
    </row>
    <row r="56" spans="1:11" ht="12.75" x14ac:dyDescent="0.35">
      <c r="A56" s="2">
        <v>45689</v>
      </c>
      <c r="B56" s="1" t="s">
        <v>35</v>
      </c>
      <c r="C56" s="1" t="s">
        <v>18</v>
      </c>
      <c r="D56" s="1">
        <v>60000</v>
      </c>
      <c r="E56" s="1">
        <v>5000</v>
      </c>
      <c r="F56" s="1">
        <v>6000</v>
      </c>
      <c r="G56" s="1">
        <v>-1000</v>
      </c>
      <c r="H56" s="1">
        <v>-20</v>
      </c>
      <c r="I56" s="1">
        <v>36</v>
      </c>
      <c r="J56" s="1">
        <v>167</v>
      </c>
      <c r="K56" s="1" t="s">
        <v>79</v>
      </c>
    </row>
    <row r="57" spans="1:11" ht="12.75" x14ac:dyDescent="0.35">
      <c r="A57" s="2">
        <v>45689</v>
      </c>
      <c r="B57" s="1" t="s">
        <v>40</v>
      </c>
      <c r="C57" s="1" t="s">
        <v>12</v>
      </c>
      <c r="D57" s="1">
        <v>2400000</v>
      </c>
      <c r="E57" s="1">
        <v>200000</v>
      </c>
      <c r="F57" s="1">
        <v>202000</v>
      </c>
      <c r="G57" s="1">
        <v>-2000</v>
      </c>
      <c r="H57" s="1">
        <v>-1</v>
      </c>
      <c r="I57" s="1">
        <v>31</v>
      </c>
      <c r="J57" s="1">
        <v>6516</v>
      </c>
      <c r="K57" s="1" t="s">
        <v>80</v>
      </c>
    </row>
    <row r="58" spans="1:11" ht="12.75" x14ac:dyDescent="0.35">
      <c r="A58" s="2">
        <v>45689</v>
      </c>
      <c r="B58" s="1" t="s">
        <v>40</v>
      </c>
      <c r="C58" s="1" t="s">
        <v>14</v>
      </c>
      <c r="D58" s="1">
        <v>120000</v>
      </c>
      <c r="E58" s="1">
        <v>10000</v>
      </c>
      <c r="F58" s="1">
        <v>10500</v>
      </c>
      <c r="G58" s="1">
        <v>-500</v>
      </c>
      <c r="H58" s="1">
        <v>-5</v>
      </c>
      <c r="I58" s="1">
        <v>31</v>
      </c>
      <c r="J58" s="1">
        <v>339</v>
      </c>
      <c r="K58" s="1" t="s">
        <v>81</v>
      </c>
    </row>
    <row r="59" spans="1:11" ht="12.75" x14ac:dyDescent="0.35">
      <c r="A59" s="2">
        <v>45689</v>
      </c>
      <c r="B59" s="1" t="s">
        <v>40</v>
      </c>
      <c r="C59" s="1" t="s">
        <v>18</v>
      </c>
      <c r="D59" s="1">
        <v>96000</v>
      </c>
      <c r="E59" s="1">
        <v>8000</v>
      </c>
      <c r="F59" s="1">
        <v>11000</v>
      </c>
      <c r="G59" s="1">
        <v>-3000</v>
      </c>
      <c r="H59" s="1">
        <v>-37.5</v>
      </c>
      <c r="I59" s="1">
        <v>31</v>
      </c>
      <c r="J59" s="1">
        <v>355</v>
      </c>
      <c r="K59" s="1" t="s">
        <v>82</v>
      </c>
    </row>
    <row r="60" spans="1:11" ht="12.75" x14ac:dyDescent="0.35">
      <c r="A60" s="2">
        <v>45689</v>
      </c>
      <c r="B60" s="1" t="s">
        <v>40</v>
      </c>
      <c r="C60" s="1" t="s">
        <v>20</v>
      </c>
      <c r="D60" s="1">
        <v>72000</v>
      </c>
      <c r="E60" s="1">
        <v>6000</v>
      </c>
      <c r="F60" s="1">
        <v>6200</v>
      </c>
      <c r="G60" s="1">
        <v>-200</v>
      </c>
      <c r="H60" s="1">
        <v>-3.3</v>
      </c>
      <c r="I60" s="1">
        <v>31</v>
      </c>
      <c r="J60" s="1">
        <v>200</v>
      </c>
      <c r="K60" s="1" t="s">
        <v>83</v>
      </c>
    </row>
    <row r="61" spans="1:11" ht="12.75" x14ac:dyDescent="0.35">
      <c r="A61" s="2">
        <v>45689</v>
      </c>
      <c r="B61" s="1" t="s">
        <v>45</v>
      </c>
      <c r="C61" s="1" t="s">
        <v>12</v>
      </c>
      <c r="D61" s="1">
        <v>1800000</v>
      </c>
      <c r="E61" s="1">
        <v>150000</v>
      </c>
      <c r="F61" s="1">
        <v>149000</v>
      </c>
      <c r="G61" s="1">
        <v>1000</v>
      </c>
      <c r="H61" s="1">
        <v>0.7</v>
      </c>
      <c r="I61" s="1">
        <v>12</v>
      </c>
      <c r="J61" s="1">
        <v>12417</v>
      </c>
      <c r="K61" s="1" t="s">
        <v>84</v>
      </c>
    </row>
    <row r="62" spans="1:11" ht="12.75" x14ac:dyDescent="0.35">
      <c r="A62" s="2">
        <v>45689</v>
      </c>
      <c r="B62" s="1" t="s">
        <v>45</v>
      </c>
      <c r="C62" s="1" t="s">
        <v>14</v>
      </c>
      <c r="D62" s="1">
        <v>120000</v>
      </c>
      <c r="E62" s="1">
        <v>10000</v>
      </c>
      <c r="F62" s="1">
        <v>9800</v>
      </c>
      <c r="G62" s="1">
        <v>200</v>
      </c>
      <c r="H62" s="1">
        <v>2</v>
      </c>
      <c r="I62" s="1">
        <v>12</v>
      </c>
      <c r="J62" s="1">
        <v>817</v>
      </c>
      <c r="K62" s="1" t="s">
        <v>85</v>
      </c>
    </row>
    <row r="63" spans="1:11" ht="12.75" x14ac:dyDescent="0.35">
      <c r="A63" s="2">
        <v>45689</v>
      </c>
      <c r="B63" s="1" t="s">
        <v>45</v>
      </c>
      <c r="C63" s="1" t="s">
        <v>16</v>
      </c>
      <c r="D63" s="1">
        <v>240000</v>
      </c>
      <c r="E63" s="1">
        <v>20000</v>
      </c>
      <c r="F63" s="1">
        <v>18000</v>
      </c>
      <c r="G63" s="1">
        <v>2000</v>
      </c>
      <c r="H63" s="1">
        <v>10</v>
      </c>
      <c r="I63" s="1">
        <v>12</v>
      </c>
      <c r="J63" s="1">
        <v>1500</v>
      </c>
      <c r="K63" s="1" t="s">
        <v>86</v>
      </c>
    </row>
    <row r="64" spans="1:11" ht="12.75" x14ac:dyDescent="0.35">
      <c r="A64" s="2">
        <v>45689</v>
      </c>
      <c r="B64" s="1" t="s">
        <v>45</v>
      </c>
      <c r="C64" s="1" t="s">
        <v>20</v>
      </c>
      <c r="D64" s="1">
        <v>60000</v>
      </c>
      <c r="E64" s="1">
        <v>5000</v>
      </c>
      <c r="F64" s="1">
        <v>5200</v>
      </c>
      <c r="G64" s="1">
        <v>-200</v>
      </c>
      <c r="H64" s="1">
        <v>-4</v>
      </c>
      <c r="I64" s="1">
        <v>12</v>
      </c>
      <c r="J64" s="1">
        <v>433</v>
      </c>
      <c r="K64" s="1" t="s">
        <v>70</v>
      </c>
    </row>
    <row r="65" spans="1:11" ht="12.75" x14ac:dyDescent="0.35">
      <c r="A65" s="2">
        <v>45689</v>
      </c>
      <c r="B65" s="1" t="s">
        <v>50</v>
      </c>
      <c r="C65" s="1" t="s">
        <v>12</v>
      </c>
      <c r="D65" s="1">
        <v>1200000</v>
      </c>
      <c r="E65" s="1">
        <v>100000</v>
      </c>
      <c r="F65" s="1">
        <v>105000</v>
      </c>
      <c r="G65" s="1">
        <v>-5000</v>
      </c>
      <c r="H65" s="1">
        <v>-5</v>
      </c>
      <c r="I65" s="1">
        <v>9</v>
      </c>
      <c r="J65" s="1">
        <v>11667</v>
      </c>
      <c r="K65" s="1" t="s">
        <v>87</v>
      </c>
    </row>
    <row r="66" spans="1:11" ht="12.75" x14ac:dyDescent="0.35">
      <c r="A66" s="2">
        <v>45689</v>
      </c>
      <c r="B66" s="1" t="s">
        <v>50</v>
      </c>
      <c r="C66" s="1" t="s">
        <v>14</v>
      </c>
      <c r="D66" s="1">
        <v>96000</v>
      </c>
      <c r="E66" s="1">
        <v>8000</v>
      </c>
      <c r="F66" s="1">
        <v>8200</v>
      </c>
      <c r="G66" s="1">
        <v>-200</v>
      </c>
      <c r="H66" s="1">
        <v>-2.5</v>
      </c>
      <c r="I66" s="1">
        <v>9</v>
      </c>
      <c r="J66" s="1">
        <v>911</v>
      </c>
      <c r="K66" s="1" t="s">
        <v>88</v>
      </c>
    </row>
    <row r="67" spans="1:11" ht="12.75" x14ac:dyDescent="0.35">
      <c r="A67" s="2">
        <v>45689</v>
      </c>
      <c r="B67" s="1" t="s">
        <v>50</v>
      </c>
      <c r="C67" s="1" t="s">
        <v>16</v>
      </c>
      <c r="D67" s="1">
        <v>144000</v>
      </c>
      <c r="E67" s="1">
        <v>12000</v>
      </c>
      <c r="F67" s="1">
        <v>10000</v>
      </c>
      <c r="G67" s="1">
        <v>2000</v>
      </c>
      <c r="H67" s="1">
        <v>16.7</v>
      </c>
      <c r="I67" s="1">
        <v>9</v>
      </c>
      <c r="J67" s="1">
        <v>1111</v>
      </c>
      <c r="K67" s="1" t="s">
        <v>89</v>
      </c>
    </row>
    <row r="68" spans="1:11" ht="12.75" x14ac:dyDescent="0.35">
      <c r="A68" s="2">
        <v>45689</v>
      </c>
      <c r="B68" s="1" t="s">
        <v>50</v>
      </c>
      <c r="C68" s="1" t="s">
        <v>20</v>
      </c>
      <c r="D68" s="1">
        <v>72000</v>
      </c>
      <c r="E68" s="1">
        <v>6000</v>
      </c>
      <c r="F68" s="1">
        <v>6500</v>
      </c>
      <c r="G68" s="1">
        <v>-500</v>
      </c>
      <c r="H68" s="1">
        <v>-8.3000000000000007</v>
      </c>
      <c r="I68" s="1">
        <v>9</v>
      </c>
      <c r="J68" s="1">
        <v>722</v>
      </c>
      <c r="K68" s="1" t="s">
        <v>90</v>
      </c>
    </row>
    <row r="69" spans="1:11" ht="12.75" x14ac:dyDescent="0.35">
      <c r="A69" s="2">
        <v>45689</v>
      </c>
      <c r="B69" s="1" t="s">
        <v>20</v>
      </c>
      <c r="C69" s="1" t="s">
        <v>12</v>
      </c>
      <c r="D69" s="1">
        <v>1800000</v>
      </c>
      <c r="E69" s="1">
        <v>150000</v>
      </c>
      <c r="F69" s="1">
        <v>148000</v>
      </c>
      <c r="G69" s="1">
        <v>2000</v>
      </c>
      <c r="H69" s="1">
        <v>1.3</v>
      </c>
      <c r="I69" s="1">
        <v>20</v>
      </c>
      <c r="J69" s="1">
        <v>7400</v>
      </c>
      <c r="K69" s="1" t="s">
        <v>91</v>
      </c>
    </row>
    <row r="70" spans="1:11" ht="12.75" x14ac:dyDescent="0.35">
      <c r="A70" s="2">
        <v>45689</v>
      </c>
      <c r="B70" s="1" t="s">
        <v>20</v>
      </c>
      <c r="C70" s="1" t="s">
        <v>14</v>
      </c>
      <c r="D70" s="1">
        <v>360000</v>
      </c>
      <c r="E70" s="1">
        <v>30000</v>
      </c>
      <c r="F70" s="1">
        <v>31000</v>
      </c>
      <c r="G70" s="1">
        <v>-1000</v>
      </c>
      <c r="H70" s="1">
        <v>-3.3</v>
      </c>
      <c r="I70" s="1">
        <v>20</v>
      </c>
      <c r="J70" s="1">
        <v>1550</v>
      </c>
      <c r="K70" s="1" t="s">
        <v>92</v>
      </c>
    </row>
    <row r="71" spans="1:11" ht="12.75" x14ac:dyDescent="0.35">
      <c r="A71" s="2">
        <v>45689</v>
      </c>
      <c r="B71" s="1" t="s">
        <v>20</v>
      </c>
      <c r="C71" s="1" t="s">
        <v>16</v>
      </c>
      <c r="D71" s="1">
        <v>120000</v>
      </c>
      <c r="E71" s="1">
        <v>10000</v>
      </c>
      <c r="F71" s="1">
        <v>9000</v>
      </c>
      <c r="G71" s="1">
        <v>1000</v>
      </c>
      <c r="H71" s="1">
        <v>10</v>
      </c>
      <c r="I71" s="1">
        <v>20</v>
      </c>
      <c r="J71" s="1">
        <v>450</v>
      </c>
      <c r="K71" s="1" t="s">
        <v>93</v>
      </c>
    </row>
    <row r="72" spans="1:11" ht="12.75" x14ac:dyDescent="0.35">
      <c r="A72" s="2">
        <v>45689</v>
      </c>
      <c r="B72" s="1" t="s">
        <v>20</v>
      </c>
      <c r="C72" s="1" t="s">
        <v>18</v>
      </c>
      <c r="D72" s="1">
        <v>48000</v>
      </c>
      <c r="E72" s="1">
        <v>4000</v>
      </c>
      <c r="F72" s="1">
        <v>3000</v>
      </c>
      <c r="G72" s="1">
        <v>1000</v>
      </c>
      <c r="H72" s="1">
        <v>25</v>
      </c>
      <c r="I72" s="1">
        <v>20</v>
      </c>
      <c r="J72" s="1">
        <v>150</v>
      </c>
      <c r="K72" s="1" t="s">
        <v>94</v>
      </c>
    </row>
    <row r="73" spans="1:11" ht="12.75" x14ac:dyDescent="0.35">
      <c r="A73" s="2">
        <v>45689</v>
      </c>
      <c r="B73" s="1" t="s">
        <v>20</v>
      </c>
      <c r="C73" s="1" t="s">
        <v>59</v>
      </c>
      <c r="D73" s="1">
        <v>480000</v>
      </c>
      <c r="E73" s="1">
        <v>40000</v>
      </c>
      <c r="F73" s="1">
        <v>40500</v>
      </c>
      <c r="G73" s="1">
        <v>-500</v>
      </c>
      <c r="H73" s="1">
        <v>-1.3</v>
      </c>
      <c r="I73" s="1">
        <v>20</v>
      </c>
      <c r="J73" s="1">
        <v>2025</v>
      </c>
      <c r="K73" s="1" t="s">
        <v>95</v>
      </c>
    </row>
    <row r="74" spans="1:11" ht="12.75" x14ac:dyDescent="0.35">
      <c r="A74" s="2">
        <v>45717</v>
      </c>
      <c r="B74" s="1" t="s">
        <v>11</v>
      </c>
      <c r="C74" s="1" t="s">
        <v>12</v>
      </c>
      <c r="D74" s="1">
        <v>18000000</v>
      </c>
      <c r="E74" s="1">
        <v>1500000</v>
      </c>
      <c r="F74" s="1">
        <v>1580000</v>
      </c>
      <c r="G74" s="1">
        <v>-80000</v>
      </c>
      <c r="H74" s="1">
        <v>-5.3</v>
      </c>
      <c r="I74" s="1">
        <v>132</v>
      </c>
      <c r="J74" s="1">
        <v>11970</v>
      </c>
      <c r="K74" s="1" t="s">
        <v>96</v>
      </c>
    </row>
    <row r="75" spans="1:11" ht="12.75" x14ac:dyDescent="0.35">
      <c r="A75" s="2">
        <v>45717</v>
      </c>
      <c r="B75" s="1" t="s">
        <v>11</v>
      </c>
      <c r="C75" s="1" t="s">
        <v>14</v>
      </c>
      <c r="D75" s="1">
        <v>1200000</v>
      </c>
      <c r="E75" s="1">
        <v>100000</v>
      </c>
      <c r="F75" s="1">
        <v>108000</v>
      </c>
      <c r="G75" s="1">
        <v>-8000</v>
      </c>
      <c r="H75" s="1">
        <v>-8</v>
      </c>
      <c r="I75" s="1">
        <v>132</v>
      </c>
      <c r="J75" s="1">
        <v>818</v>
      </c>
      <c r="K75" s="1" t="s">
        <v>97</v>
      </c>
    </row>
    <row r="76" spans="1:11" ht="12.75" x14ac:dyDescent="0.35">
      <c r="A76" s="2">
        <v>45717</v>
      </c>
      <c r="B76" s="1" t="s">
        <v>11</v>
      </c>
      <c r="C76" s="1" t="s">
        <v>16</v>
      </c>
      <c r="D76" s="1">
        <v>360000</v>
      </c>
      <c r="E76" s="1">
        <v>30000</v>
      </c>
      <c r="F76" s="1">
        <v>35000</v>
      </c>
      <c r="G76" s="1">
        <v>-5000</v>
      </c>
      <c r="H76" s="1">
        <v>-16.7</v>
      </c>
      <c r="I76" s="1">
        <v>132</v>
      </c>
      <c r="J76" s="1">
        <v>265</v>
      </c>
      <c r="K76" s="1" t="s">
        <v>98</v>
      </c>
    </row>
    <row r="77" spans="1:11" ht="12.75" x14ac:dyDescent="0.35">
      <c r="A77" s="2">
        <v>45717</v>
      </c>
      <c r="B77" s="1" t="s">
        <v>11</v>
      </c>
      <c r="C77" s="1" t="s">
        <v>18</v>
      </c>
      <c r="D77" s="1">
        <v>120000</v>
      </c>
      <c r="E77" s="1">
        <v>10000</v>
      </c>
      <c r="F77" s="1">
        <v>12000</v>
      </c>
      <c r="G77" s="1">
        <v>-2000</v>
      </c>
      <c r="H77" s="1">
        <v>-20</v>
      </c>
      <c r="I77" s="1">
        <v>132</v>
      </c>
      <c r="J77" s="1">
        <v>91</v>
      </c>
      <c r="K77" s="1" t="s">
        <v>99</v>
      </c>
    </row>
    <row r="78" spans="1:11" ht="12.75" x14ac:dyDescent="0.35">
      <c r="A78" s="2">
        <v>45717</v>
      </c>
      <c r="B78" s="1" t="s">
        <v>11</v>
      </c>
      <c r="C78" s="1" t="s">
        <v>20</v>
      </c>
      <c r="D78" s="1">
        <v>240000</v>
      </c>
      <c r="E78" s="1">
        <v>20000</v>
      </c>
      <c r="F78" s="1">
        <v>20500</v>
      </c>
      <c r="G78" s="1">
        <v>-500</v>
      </c>
      <c r="H78" s="1">
        <v>-2.5</v>
      </c>
      <c r="I78" s="1">
        <v>132</v>
      </c>
      <c r="J78" s="1">
        <v>155</v>
      </c>
      <c r="K78" s="1" t="s">
        <v>100</v>
      </c>
    </row>
    <row r="79" spans="1:11" ht="12.75" x14ac:dyDescent="0.35">
      <c r="A79" s="2">
        <v>45717</v>
      </c>
      <c r="B79" s="1" t="s">
        <v>22</v>
      </c>
      <c r="C79" s="1" t="s">
        <v>12</v>
      </c>
      <c r="D79" s="1">
        <v>7200000</v>
      </c>
      <c r="E79" s="1">
        <v>600000</v>
      </c>
      <c r="F79" s="1">
        <v>625000</v>
      </c>
      <c r="G79" s="1">
        <v>-25000</v>
      </c>
      <c r="H79" s="1">
        <v>-4.2</v>
      </c>
      <c r="I79" s="1">
        <v>50</v>
      </c>
      <c r="J79" s="1">
        <v>12500</v>
      </c>
      <c r="K79" s="1" t="s">
        <v>101</v>
      </c>
    </row>
    <row r="80" spans="1:11" ht="12.75" x14ac:dyDescent="0.35">
      <c r="A80" s="2">
        <v>45717</v>
      </c>
      <c r="B80" s="1" t="s">
        <v>22</v>
      </c>
      <c r="C80" s="1" t="s">
        <v>14</v>
      </c>
      <c r="D80" s="1">
        <v>300000</v>
      </c>
      <c r="E80" s="1">
        <v>25000</v>
      </c>
      <c r="F80" s="1">
        <v>27000</v>
      </c>
      <c r="G80" s="1">
        <v>-2000</v>
      </c>
      <c r="H80" s="1">
        <v>-8</v>
      </c>
      <c r="I80" s="1">
        <v>50</v>
      </c>
      <c r="J80" s="1">
        <v>540</v>
      </c>
      <c r="K80" s="1" t="s">
        <v>102</v>
      </c>
    </row>
    <row r="81" spans="1:11" ht="12.75" x14ac:dyDescent="0.35">
      <c r="A81" s="2">
        <v>45717</v>
      </c>
      <c r="B81" s="1" t="s">
        <v>22</v>
      </c>
      <c r="C81" s="1" t="s">
        <v>18</v>
      </c>
      <c r="D81" s="1">
        <v>480000</v>
      </c>
      <c r="E81" s="1">
        <v>40000</v>
      </c>
      <c r="F81" s="1">
        <v>55000</v>
      </c>
      <c r="G81" s="1">
        <v>-15000</v>
      </c>
      <c r="H81" s="1">
        <v>-37.5</v>
      </c>
      <c r="I81" s="1">
        <v>50</v>
      </c>
      <c r="J81" s="1">
        <v>1100</v>
      </c>
      <c r="K81" s="1" t="s">
        <v>103</v>
      </c>
    </row>
    <row r="82" spans="1:11" ht="12.75" x14ac:dyDescent="0.35">
      <c r="A82" s="2">
        <v>45717</v>
      </c>
      <c r="B82" s="1" t="s">
        <v>22</v>
      </c>
      <c r="C82" s="1" t="s">
        <v>26</v>
      </c>
      <c r="D82" s="1">
        <v>360000</v>
      </c>
      <c r="E82" s="1">
        <v>30000</v>
      </c>
      <c r="F82" s="1">
        <v>35000</v>
      </c>
      <c r="G82" s="1">
        <v>-5000</v>
      </c>
      <c r="H82" s="1">
        <v>-16.7</v>
      </c>
      <c r="I82" s="1">
        <v>50</v>
      </c>
      <c r="J82" s="1">
        <v>700</v>
      </c>
      <c r="K82" s="1" t="s">
        <v>104</v>
      </c>
    </row>
    <row r="83" spans="1:11" ht="12.75" x14ac:dyDescent="0.35">
      <c r="A83" s="2">
        <v>45717</v>
      </c>
      <c r="B83" s="1" t="s">
        <v>22</v>
      </c>
      <c r="C83" s="1" t="s">
        <v>20</v>
      </c>
      <c r="D83" s="1">
        <v>180000</v>
      </c>
      <c r="E83" s="1">
        <v>15000</v>
      </c>
      <c r="F83" s="1">
        <v>16000</v>
      </c>
      <c r="G83" s="1">
        <v>-1000</v>
      </c>
      <c r="H83" s="1">
        <v>-6.7</v>
      </c>
      <c r="I83" s="1">
        <v>50</v>
      </c>
      <c r="J83" s="1">
        <v>320</v>
      </c>
      <c r="K83" s="1" t="s">
        <v>105</v>
      </c>
    </row>
    <row r="84" spans="1:11" ht="12.75" x14ac:dyDescent="0.35">
      <c r="A84" s="2">
        <v>45717</v>
      </c>
      <c r="B84" s="1" t="s">
        <v>26</v>
      </c>
      <c r="C84" s="1" t="s">
        <v>12</v>
      </c>
      <c r="D84" s="1">
        <v>3600000</v>
      </c>
      <c r="E84" s="1">
        <v>300000</v>
      </c>
      <c r="F84" s="1">
        <v>312000</v>
      </c>
      <c r="G84" s="1">
        <v>-12000</v>
      </c>
      <c r="H84" s="1">
        <v>-4</v>
      </c>
      <c r="I84" s="1">
        <v>27</v>
      </c>
      <c r="J84" s="1">
        <v>11556</v>
      </c>
      <c r="K84" s="1" t="s">
        <v>106</v>
      </c>
    </row>
    <row r="85" spans="1:11" ht="12.75" x14ac:dyDescent="0.35">
      <c r="A85" s="2">
        <v>45717</v>
      </c>
      <c r="B85" s="1" t="s">
        <v>26</v>
      </c>
      <c r="C85" s="1" t="s">
        <v>14</v>
      </c>
      <c r="D85" s="1">
        <v>600000</v>
      </c>
      <c r="E85" s="1">
        <v>50000</v>
      </c>
      <c r="F85" s="1">
        <v>55000</v>
      </c>
      <c r="G85" s="1">
        <v>-5000</v>
      </c>
      <c r="H85" s="1">
        <v>-10</v>
      </c>
      <c r="I85" s="1">
        <v>27</v>
      </c>
      <c r="J85" s="1">
        <v>2037</v>
      </c>
      <c r="K85" s="1" t="s">
        <v>107</v>
      </c>
    </row>
    <row r="86" spans="1:11" ht="12.75" x14ac:dyDescent="0.35">
      <c r="A86" s="2">
        <v>45717</v>
      </c>
      <c r="B86" s="1" t="s">
        <v>26</v>
      </c>
      <c r="C86" s="1" t="s">
        <v>31</v>
      </c>
      <c r="D86" s="1">
        <v>2400000</v>
      </c>
      <c r="E86" s="1">
        <v>200000</v>
      </c>
      <c r="F86" s="1">
        <v>225000</v>
      </c>
      <c r="G86" s="1">
        <v>-25000</v>
      </c>
      <c r="H86" s="1">
        <v>-12.5</v>
      </c>
      <c r="I86" s="1">
        <v>27</v>
      </c>
      <c r="J86" s="1">
        <v>8333</v>
      </c>
      <c r="K86" s="1" t="s">
        <v>108</v>
      </c>
    </row>
    <row r="87" spans="1:11" ht="12.75" x14ac:dyDescent="0.35">
      <c r="A87" s="2">
        <v>45717</v>
      </c>
      <c r="B87" s="1" t="s">
        <v>26</v>
      </c>
      <c r="C87" s="1" t="s">
        <v>16</v>
      </c>
      <c r="D87" s="1">
        <v>240000</v>
      </c>
      <c r="E87" s="1">
        <v>20000</v>
      </c>
      <c r="F87" s="1">
        <v>22000</v>
      </c>
      <c r="G87" s="1">
        <v>-2000</v>
      </c>
      <c r="H87" s="1">
        <v>-10</v>
      </c>
      <c r="I87" s="1">
        <v>27</v>
      </c>
      <c r="J87" s="1">
        <v>815</v>
      </c>
      <c r="K87" s="1" t="s">
        <v>109</v>
      </c>
    </row>
    <row r="88" spans="1:11" ht="12.75" x14ac:dyDescent="0.35">
      <c r="A88" s="2">
        <v>45717</v>
      </c>
      <c r="B88" s="1" t="s">
        <v>26</v>
      </c>
      <c r="C88" s="1" t="s">
        <v>18</v>
      </c>
      <c r="D88" s="1">
        <v>120000</v>
      </c>
      <c r="E88" s="1">
        <v>10000</v>
      </c>
      <c r="F88" s="1">
        <v>15000</v>
      </c>
      <c r="G88" s="1">
        <v>-5000</v>
      </c>
      <c r="H88" s="1">
        <v>-50</v>
      </c>
      <c r="I88" s="1">
        <v>27</v>
      </c>
      <c r="J88" s="1">
        <v>556</v>
      </c>
      <c r="K88" s="1" t="s">
        <v>110</v>
      </c>
    </row>
    <row r="89" spans="1:11" ht="12.75" x14ac:dyDescent="0.35">
      <c r="A89" s="2">
        <v>45717</v>
      </c>
      <c r="B89" s="1" t="s">
        <v>35</v>
      </c>
      <c r="C89" s="1" t="s">
        <v>12</v>
      </c>
      <c r="D89" s="1">
        <v>4800000</v>
      </c>
      <c r="E89" s="1">
        <v>400000</v>
      </c>
      <c r="F89" s="1">
        <v>425000</v>
      </c>
      <c r="G89" s="1">
        <v>-25000</v>
      </c>
      <c r="H89" s="1">
        <v>-6.3</v>
      </c>
      <c r="I89" s="1">
        <v>38</v>
      </c>
      <c r="J89" s="1">
        <v>11184</v>
      </c>
      <c r="K89" s="1" t="s">
        <v>111</v>
      </c>
    </row>
    <row r="90" spans="1:11" ht="12.75" x14ac:dyDescent="0.35">
      <c r="A90" s="2">
        <v>45717</v>
      </c>
      <c r="B90" s="1" t="s">
        <v>35</v>
      </c>
      <c r="C90" s="1" t="s">
        <v>14</v>
      </c>
      <c r="D90" s="1">
        <v>180000</v>
      </c>
      <c r="E90" s="1">
        <v>15000</v>
      </c>
      <c r="F90" s="1">
        <v>16000</v>
      </c>
      <c r="G90" s="1">
        <v>-1000</v>
      </c>
      <c r="H90" s="1">
        <v>-6.7</v>
      </c>
      <c r="I90" s="1">
        <v>38</v>
      </c>
      <c r="J90" s="1">
        <v>421</v>
      </c>
      <c r="K90" s="1" t="s">
        <v>112</v>
      </c>
    </row>
    <row r="91" spans="1:11" ht="12.75" x14ac:dyDescent="0.35">
      <c r="A91" s="2">
        <v>45717</v>
      </c>
      <c r="B91" s="1" t="s">
        <v>35</v>
      </c>
      <c r="C91" s="1" t="s">
        <v>16</v>
      </c>
      <c r="D91" s="1">
        <v>120000</v>
      </c>
      <c r="E91" s="1">
        <v>10000</v>
      </c>
      <c r="F91" s="1">
        <v>15000</v>
      </c>
      <c r="G91" s="1">
        <v>-5000</v>
      </c>
      <c r="H91" s="1">
        <v>-50</v>
      </c>
      <c r="I91" s="1">
        <v>38</v>
      </c>
      <c r="J91" s="1">
        <v>395</v>
      </c>
      <c r="K91" s="1" t="s">
        <v>113</v>
      </c>
    </row>
    <row r="92" spans="1:11" ht="12.75" x14ac:dyDescent="0.35">
      <c r="A92" s="2">
        <v>45717</v>
      </c>
      <c r="B92" s="1" t="s">
        <v>35</v>
      </c>
      <c r="C92" s="1" t="s">
        <v>18</v>
      </c>
      <c r="D92" s="1">
        <v>60000</v>
      </c>
      <c r="E92" s="1">
        <v>5000</v>
      </c>
      <c r="F92" s="1">
        <v>8000</v>
      </c>
      <c r="G92" s="1">
        <v>-3000</v>
      </c>
      <c r="H92" s="1">
        <v>-60</v>
      </c>
      <c r="I92" s="1">
        <v>38</v>
      </c>
      <c r="J92" s="1">
        <v>211</v>
      </c>
      <c r="K92" s="1" t="s">
        <v>114</v>
      </c>
    </row>
    <row r="93" spans="1:11" ht="12.75" x14ac:dyDescent="0.35">
      <c r="A93" s="2">
        <v>45717</v>
      </c>
      <c r="B93" s="1" t="s">
        <v>40</v>
      </c>
      <c r="C93" s="1" t="s">
        <v>12</v>
      </c>
      <c r="D93" s="1">
        <v>2400000</v>
      </c>
      <c r="E93" s="1">
        <v>200000</v>
      </c>
      <c r="F93" s="1">
        <v>205000</v>
      </c>
      <c r="G93" s="1">
        <v>-5000</v>
      </c>
      <c r="H93" s="1">
        <v>-2.5</v>
      </c>
      <c r="I93" s="1">
        <v>32</v>
      </c>
      <c r="J93" s="1">
        <v>6406</v>
      </c>
      <c r="K93" s="1" t="s">
        <v>115</v>
      </c>
    </row>
    <row r="94" spans="1:11" ht="12.75" x14ac:dyDescent="0.35">
      <c r="A94" s="2">
        <v>45717</v>
      </c>
      <c r="B94" s="1" t="s">
        <v>40</v>
      </c>
      <c r="C94" s="1" t="s">
        <v>14</v>
      </c>
      <c r="D94" s="1">
        <v>120000</v>
      </c>
      <c r="E94" s="1">
        <v>10000</v>
      </c>
      <c r="F94" s="1">
        <v>11000</v>
      </c>
      <c r="G94" s="1">
        <v>-1000</v>
      </c>
      <c r="H94" s="1">
        <v>-10</v>
      </c>
      <c r="I94" s="1">
        <v>32</v>
      </c>
      <c r="J94" s="1">
        <v>344</v>
      </c>
      <c r="K94" s="1" t="s">
        <v>116</v>
      </c>
    </row>
    <row r="95" spans="1:11" ht="12.75" x14ac:dyDescent="0.35">
      <c r="A95" s="2">
        <v>45717</v>
      </c>
      <c r="B95" s="1" t="s">
        <v>40</v>
      </c>
      <c r="C95" s="1" t="s">
        <v>18</v>
      </c>
      <c r="D95" s="1">
        <v>96000</v>
      </c>
      <c r="E95" s="1">
        <v>8000</v>
      </c>
      <c r="F95" s="1">
        <v>14000</v>
      </c>
      <c r="G95" s="1">
        <v>-6000</v>
      </c>
      <c r="H95" s="1">
        <v>-75</v>
      </c>
      <c r="I95" s="1">
        <v>32</v>
      </c>
      <c r="J95" s="1">
        <v>438</v>
      </c>
      <c r="K95" s="1" t="s">
        <v>117</v>
      </c>
    </row>
    <row r="96" spans="1:11" ht="12.75" x14ac:dyDescent="0.35">
      <c r="A96" s="2">
        <v>45717</v>
      </c>
      <c r="B96" s="1" t="s">
        <v>40</v>
      </c>
      <c r="C96" s="1" t="s">
        <v>20</v>
      </c>
      <c r="D96" s="1">
        <v>72000</v>
      </c>
      <c r="E96" s="1">
        <v>6000</v>
      </c>
      <c r="F96" s="1">
        <v>6500</v>
      </c>
      <c r="G96" s="1">
        <v>-500</v>
      </c>
      <c r="H96" s="1">
        <v>-8.3000000000000007</v>
      </c>
      <c r="I96" s="1">
        <v>32</v>
      </c>
      <c r="J96" s="1">
        <v>203</v>
      </c>
      <c r="K96" s="1" t="s">
        <v>118</v>
      </c>
    </row>
    <row r="97" spans="1:11" ht="12.75" x14ac:dyDescent="0.35">
      <c r="A97" s="2">
        <v>45717</v>
      </c>
      <c r="B97" s="1" t="s">
        <v>45</v>
      </c>
      <c r="C97" s="1" t="s">
        <v>12</v>
      </c>
      <c r="D97" s="1">
        <v>1800000</v>
      </c>
      <c r="E97" s="1">
        <v>150000</v>
      </c>
      <c r="F97" s="1">
        <v>151000</v>
      </c>
      <c r="G97" s="1">
        <v>-1000</v>
      </c>
      <c r="H97" s="1">
        <v>-0.7</v>
      </c>
      <c r="I97" s="1">
        <v>13</v>
      </c>
      <c r="J97" s="1">
        <v>11615</v>
      </c>
      <c r="K97" s="1" t="s">
        <v>119</v>
      </c>
    </row>
    <row r="98" spans="1:11" ht="12.75" x14ac:dyDescent="0.35">
      <c r="A98" s="2">
        <v>45717</v>
      </c>
      <c r="B98" s="1" t="s">
        <v>45</v>
      </c>
      <c r="C98" s="1" t="s">
        <v>14</v>
      </c>
      <c r="D98" s="1">
        <v>120000</v>
      </c>
      <c r="E98" s="1">
        <v>10000</v>
      </c>
      <c r="F98" s="1">
        <v>10200</v>
      </c>
      <c r="G98" s="1">
        <v>-200</v>
      </c>
      <c r="H98" s="1">
        <v>-2</v>
      </c>
      <c r="I98" s="1">
        <v>13</v>
      </c>
      <c r="J98" s="1">
        <v>785</v>
      </c>
      <c r="K98" s="1" t="s">
        <v>120</v>
      </c>
    </row>
    <row r="99" spans="1:11" ht="12.75" x14ac:dyDescent="0.35">
      <c r="A99" s="2">
        <v>45717</v>
      </c>
      <c r="B99" s="1" t="s">
        <v>45</v>
      </c>
      <c r="C99" s="1" t="s">
        <v>16</v>
      </c>
      <c r="D99" s="1">
        <v>240000</v>
      </c>
      <c r="E99" s="1">
        <v>20000</v>
      </c>
      <c r="F99" s="1">
        <v>25000</v>
      </c>
      <c r="G99" s="1">
        <v>-5000</v>
      </c>
      <c r="H99" s="1">
        <v>-25</v>
      </c>
      <c r="I99" s="1">
        <v>13</v>
      </c>
      <c r="J99" s="1">
        <v>1923</v>
      </c>
      <c r="K99" s="1" t="s">
        <v>121</v>
      </c>
    </row>
    <row r="100" spans="1:11" ht="12.75" x14ac:dyDescent="0.35">
      <c r="A100" s="2">
        <v>45717</v>
      </c>
      <c r="B100" s="1" t="s">
        <v>45</v>
      </c>
      <c r="C100" s="1" t="s">
        <v>20</v>
      </c>
      <c r="D100" s="1">
        <v>60000</v>
      </c>
      <c r="E100" s="1">
        <v>5000</v>
      </c>
      <c r="F100" s="1">
        <v>5100</v>
      </c>
      <c r="G100" s="1">
        <v>-100</v>
      </c>
      <c r="H100" s="1">
        <v>-2</v>
      </c>
      <c r="I100" s="1">
        <v>13</v>
      </c>
      <c r="J100" s="1">
        <v>392</v>
      </c>
      <c r="K100" s="1" t="s">
        <v>70</v>
      </c>
    </row>
    <row r="101" spans="1:11" ht="12.75" x14ac:dyDescent="0.35">
      <c r="A101" s="2">
        <v>45717</v>
      </c>
      <c r="B101" s="1" t="s">
        <v>50</v>
      </c>
      <c r="C101" s="1" t="s">
        <v>12</v>
      </c>
      <c r="D101" s="1">
        <v>1200000</v>
      </c>
      <c r="E101" s="1">
        <v>100000</v>
      </c>
      <c r="F101" s="1">
        <v>108000</v>
      </c>
      <c r="G101" s="1">
        <v>-8000</v>
      </c>
      <c r="H101" s="1">
        <v>-8</v>
      </c>
      <c r="I101" s="1">
        <v>10</v>
      </c>
      <c r="J101" s="1">
        <v>10800</v>
      </c>
      <c r="K101" s="1" t="s">
        <v>122</v>
      </c>
    </row>
    <row r="102" spans="1:11" ht="12.75" x14ac:dyDescent="0.35">
      <c r="A102" s="2">
        <v>45717</v>
      </c>
      <c r="B102" s="1" t="s">
        <v>50</v>
      </c>
      <c r="C102" s="1" t="s">
        <v>14</v>
      </c>
      <c r="D102" s="1">
        <v>96000</v>
      </c>
      <c r="E102" s="1">
        <v>8000</v>
      </c>
      <c r="F102" s="1">
        <v>8500</v>
      </c>
      <c r="G102" s="1">
        <v>-500</v>
      </c>
      <c r="H102" s="1">
        <v>-6.3</v>
      </c>
      <c r="I102" s="1">
        <v>10</v>
      </c>
      <c r="J102" s="1">
        <v>850</v>
      </c>
      <c r="K102" s="1" t="s">
        <v>123</v>
      </c>
    </row>
    <row r="103" spans="1:11" ht="12.75" x14ac:dyDescent="0.35">
      <c r="A103" s="2">
        <v>45717</v>
      </c>
      <c r="B103" s="1" t="s">
        <v>50</v>
      </c>
      <c r="C103" s="1" t="s">
        <v>16</v>
      </c>
      <c r="D103" s="1">
        <v>144000</v>
      </c>
      <c r="E103" s="1">
        <v>12000</v>
      </c>
      <c r="F103" s="1">
        <v>15000</v>
      </c>
      <c r="G103" s="1">
        <v>-3000</v>
      </c>
      <c r="H103" s="1">
        <v>-25</v>
      </c>
      <c r="I103" s="1">
        <v>10</v>
      </c>
      <c r="J103" s="1">
        <v>1500</v>
      </c>
      <c r="K103" s="1" t="s">
        <v>124</v>
      </c>
    </row>
    <row r="104" spans="1:11" ht="12.75" x14ac:dyDescent="0.35">
      <c r="A104" s="2">
        <v>45717</v>
      </c>
      <c r="B104" s="1" t="s">
        <v>50</v>
      </c>
      <c r="C104" s="1" t="s">
        <v>20</v>
      </c>
      <c r="D104" s="1">
        <v>72000</v>
      </c>
      <c r="E104" s="1">
        <v>6000</v>
      </c>
      <c r="F104" s="1">
        <v>7000</v>
      </c>
      <c r="G104" s="1">
        <v>-1000</v>
      </c>
      <c r="H104" s="1">
        <v>-16.7</v>
      </c>
      <c r="I104" s="1">
        <v>10</v>
      </c>
      <c r="J104" s="1">
        <v>700</v>
      </c>
      <c r="K104" s="1" t="s">
        <v>125</v>
      </c>
    </row>
    <row r="105" spans="1:11" ht="12.75" x14ac:dyDescent="0.35">
      <c r="A105" s="2">
        <v>45717</v>
      </c>
      <c r="B105" s="1" t="s">
        <v>20</v>
      </c>
      <c r="C105" s="1" t="s">
        <v>12</v>
      </c>
      <c r="D105" s="1">
        <v>1800000</v>
      </c>
      <c r="E105" s="1">
        <v>150000</v>
      </c>
      <c r="F105" s="1">
        <v>152000</v>
      </c>
      <c r="G105" s="1">
        <v>-2000</v>
      </c>
      <c r="H105" s="1">
        <v>-1.3</v>
      </c>
      <c r="I105" s="1">
        <v>21</v>
      </c>
      <c r="J105" s="1">
        <v>7238</v>
      </c>
      <c r="K105" s="1" t="s">
        <v>126</v>
      </c>
    </row>
    <row r="106" spans="1:11" ht="12.75" x14ac:dyDescent="0.35">
      <c r="A106" s="2">
        <v>45717</v>
      </c>
      <c r="B106" s="1" t="s">
        <v>20</v>
      </c>
      <c r="C106" s="1" t="s">
        <v>14</v>
      </c>
      <c r="D106" s="1">
        <v>360000</v>
      </c>
      <c r="E106" s="1">
        <v>30000</v>
      </c>
      <c r="F106" s="1">
        <v>33000</v>
      </c>
      <c r="G106" s="1">
        <v>-3000</v>
      </c>
      <c r="H106" s="1">
        <v>-10</v>
      </c>
      <c r="I106" s="1">
        <v>21</v>
      </c>
      <c r="J106" s="1">
        <v>1571</v>
      </c>
      <c r="K106" s="1" t="s">
        <v>127</v>
      </c>
    </row>
    <row r="107" spans="1:11" ht="12.75" x14ac:dyDescent="0.35">
      <c r="A107" s="2">
        <v>45717</v>
      </c>
      <c r="B107" s="1" t="s">
        <v>20</v>
      </c>
      <c r="C107" s="1" t="s">
        <v>16</v>
      </c>
      <c r="D107" s="1">
        <v>120000</v>
      </c>
      <c r="E107" s="1">
        <v>10000</v>
      </c>
      <c r="F107" s="1">
        <v>12000</v>
      </c>
      <c r="G107" s="1">
        <v>-2000</v>
      </c>
      <c r="H107" s="1">
        <v>-20</v>
      </c>
      <c r="I107" s="1">
        <v>21</v>
      </c>
      <c r="J107" s="1">
        <v>571</v>
      </c>
      <c r="K107" s="1" t="s">
        <v>57</v>
      </c>
    </row>
    <row r="108" spans="1:11" ht="12.75" x14ac:dyDescent="0.35">
      <c r="A108" s="2">
        <v>45717</v>
      </c>
      <c r="B108" s="1" t="s">
        <v>20</v>
      </c>
      <c r="C108" s="1" t="s">
        <v>18</v>
      </c>
      <c r="D108" s="1">
        <v>48000</v>
      </c>
      <c r="E108" s="1">
        <v>4000</v>
      </c>
      <c r="F108" s="1">
        <v>4500</v>
      </c>
      <c r="G108" s="1">
        <v>-500</v>
      </c>
      <c r="H108" s="1">
        <v>-12.5</v>
      </c>
      <c r="I108" s="1">
        <v>21</v>
      </c>
      <c r="J108" s="1">
        <v>214</v>
      </c>
      <c r="K108" s="1" t="s">
        <v>128</v>
      </c>
    </row>
    <row r="109" spans="1:11" ht="12.75" x14ac:dyDescent="0.35">
      <c r="A109" s="2">
        <v>45717</v>
      </c>
      <c r="B109" s="1" t="s">
        <v>20</v>
      </c>
      <c r="C109" s="1" t="s">
        <v>59</v>
      </c>
      <c r="D109" s="1">
        <v>480000</v>
      </c>
      <c r="E109" s="1">
        <v>40000</v>
      </c>
      <c r="F109" s="1">
        <v>41000</v>
      </c>
      <c r="G109" s="1">
        <v>-1000</v>
      </c>
      <c r="H109" s="1">
        <v>-2.5</v>
      </c>
      <c r="I109" s="1">
        <v>21</v>
      </c>
      <c r="J109" s="1">
        <v>1952</v>
      </c>
      <c r="K109" s="1" t="s">
        <v>129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814C9-C915-4A51-815B-CBAD661881B6}">
  <sheetPr>
    <outlinePr summaryBelow="0" summaryRight="0"/>
  </sheetPr>
  <dimension ref="A1:K109"/>
  <sheetViews>
    <sheetView tabSelected="1" workbookViewId="0">
      <selection activeCell="K2" sqref="K2"/>
    </sheetView>
  </sheetViews>
  <sheetFormatPr defaultColWidth="12.59765625" defaultRowHeight="15.75" customHeight="1" x14ac:dyDescent="0.35"/>
  <cols>
    <col min="2" max="2" width="12.86328125" customWidth="1"/>
    <col min="4" max="4" width="16.1328125" style="4" customWidth="1"/>
    <col min="5" max="5" width="16.86328125" style="4" customWidth="1"/>
    <col min="6" max="6" width="14.73046875" style="4" customWidth="1"/>
    <col min="7" max="7" width="18.19921875" style="4" customWidth="1"/>
    <col min="8" max="8" width="17.86328125" style="6" customWidth="1"/>
    <col min="9" max="9" width="12.59765625" style="10"/>
    <col min="10" max="10" width="21.86328125" style="8" customWidth="1"/>
    <col min="11" max="11" width="21.86328125" style="4" customWidth="1"/>
  </cols>
  <sheetData>
    <row r="1" spans="1:11" ht="15.75" customHeight="1" x14ac:dyDescent="0.35">
      <c r="A1" s="1" t="s">
        <v>0</v>
      </c>
      <c r="B1" s="1" t="s">
        <v>1</v>
      </c>
      <c r="C1" s="1" t="s">
        <v>2</v>
      </c>
      <c r="D1" s="3" t="s">
        <v>3</v>
      </c>
      <c r="E1" s="3" t="s">
        <v>4</v>
      </c>
      <c r="F1" s="3" t="s">
        <v>5</v>
      </c>
      <c r="G1" s="3" t="s">
        <v>6</v>
      </c>
      <c r="H1" s="5" t="s">
        <v>7</v>
      </c>
      <c r="I1" s="9" t="s">
        <v>8</v>
      </c>
      <c r="J1" s="7" t="s">
        <v>9</v>
      </c>
      <c r="K1" s="14" t="s">
        <v>134</v>
      </c>
    </row>
    <row r="2" spans="1:11" ht="15.75" customHeight="1" x14ac:dyDescent="0.35">
      <c r="A2" s="2">
        <v>45658</v>
      </c>
      <c r="B2" s="1" t="s">
        <v>11</v>
      </c>
      <c r="C2" s="1" t="s">
        <v>12</v>
      </c>
      <c r="D2" s="3">
        <v>18000000</v>
      </c>
      <c r="E2" s="3">
        <v>1500000</v>
      </c>
      <c r="F2" s="3">
        <v>1520000</v>
      </c>
      <c r="G2" s="3">
        <v>-20000</v>
      </c>
      <c r="H2" s="5">
        <v>-1.3</v>
      </c>
      <c r="I2" s="9">
        <v>125</v>
      </c>
      <c r="J2" s="7">
        <v>12160</v>
      </c>
      <c r="K2" s="3">
        <f>Table1[[#This Row],[Actual_Spend]] -Table1[[#This Row],[Budget_Monthly]]</f>
        <v>20000</v>
      </c>
    </row>
    <row r="3" spans="1:11" ht="15.75" customHeight="1" x14ac:dyDescent="0.35">
      <c r="A3" s="2">
        <v>45658</v>
      </c>
      <c r="B3" s="1" t="s">
        <v>11</v>
      </c>
      <c r="C3" s="1" t="s">
        <v>14</v>
      </c>
      <c r="D3" s="3">
        <v>1200000</v>
      </c>
      <c r="E3" s="3">
        <v>100000</v>
      </c>
      <c r="F3" s="3">
        <v>95000</v>
      </c>
      <c r="G3" s="3">
        <v>5000</v>
      </c>
      <c r="H3" s="5">
        <v>5</v>
      </c>
      <c r="I3" s="9">
        <v>125</v>
      </c>
      <c r="J3" s="7">
        <v>760</v>
      </c>
      <c r="K3" s="3">
        <f>Table1[[#This Row],[Actual_Spend]] -Table1[[#This Row],[Budget_Monthly]]</f>
        <v>-5000</v>
      </c>
    </row>
    <row r="4" spans="1:11" ht="15.75" customHeight="1" x14ac:dyDescent="0.35">
      <c r="A4" s="2">
        <v>45658</v>
      </c>
      <c r="B4" s="1" t="s">
        <v>11</v>
      </c>
      <c r="C4" s="1" t="s">
        <v>16</v>
      </c>
      <c r="D4" s="3">
        <v>360000</v>
      </c>
      <c r="E4" s="3">
        <v>30000</v>
      </c>
      <c r="F4" s="3">
        <v>45000</v>
      </c>
      <c r="G4" s="3">
        <v>-15000</v>
      </c>
      <c r="H4" s="5">
        <v>-50</v>
      </c>
      <c r="I4" s="9">
        <v>125</v>
      </c>
      <c r="J4" s="7">
        <v>360</v>
      </c>
      <c r="K4" s="3">
        <f>Table1[[#This Row],[Actual_Spend]] -Table1[[#This Row],[Budget_Monthly]]</f>
        <v>15000</v>
      </c>
    </row>
    <row r="5" spans="1:11" ht="15.75" customHeight="1" x14ac:dyDescent="0.35">
      <c r="A5" s="2">
        <v>45658</v>
      </c>
      <c r="B5" s="1" t="s">
        <v>11</v>
      </c>
      <c r="C5" s="1" t="s">
        <v>18</v>
      </c>
      <c r="D5" s="3">
        <v>120000</v>
      </c>
      <c r="E5" s="3">
        <v>10000</v>
      </c>
      <c r="F5" s="3">
        <v>8500</v>
      </c>
      <c r="G5" s="3">
        <v>1500</v>
      </c>
      <c r="H5" s="5">
        <v>15</v>
      </c>
      <c r="I5" s="9">
        <v>125</v>
      </c>
      <c r="J5" s="7">
        <v>68</v>
      </c>
      <c r="K5" s="3">
        <f>Table1[[#This Row],[Actual_Spend]] -Table1[[#This Row],[Budget_Monthly]]</f>
        <v>-1500</v>
      </c>
    </row>
    <row r="6" spans="1:11" ht="15.75" customHeight="1" x14ac:dyDescent="0.35">
      <c r="A6" s="2">
        <v>45658</v>
      </c>
      <c r="B6" s="1" t="s">
        <v>11</v>
      </c>
      <c r="C6" s="1" t="s">
        <v>20</v>
      </c>
      <c r="D6" s="3">
        <v>240000</v>
      </c>
      <c r="E6" s="3">
        <v>20000</v>
      </c>
      <c r="F6" s="3">
        <v>18500</v>
      </c>
      <c r="G6" s="3">
        <v>1500</v>
      </c>
      <c r="H6" s="5">
        <v>7.5</v>
      </c>
      <c r="I6" s="9">
        <v>125</v>
      </c>
      <c r="J6" s="7">
        <v>148</v>
      </c>
      <c r="K6" s="3">
        <f>Table1[[#This Row],[Actual_Spend]] -Table1[[#This Row],[Budget_Monthly]]</f>
        <v>-1500</v>
      </c>
    </row>
    <row r="7" spans="1:11" ht="15.75" customHeight="1" x14ac:dyDescent="0.35">
      <c r="A7" s="2">
        <v>45658</v>
      </c>
      <c r="B7" s="1" t="s">
        <v>22</v>
      </c>
      <c r="C7" s="1" t="s">
        <v>12</v>
      </c>
      <c r="D7" s="3">
        <v>7200000</v>
      </c>
      <c r="E7" s="3">
        <v>600000</v>
      </c>
      <c r="F7" s="3">
        <v>595000</v>
      </c>
      <c r="G7" s="3">
        <v>5000</v>
      </c>
      <c r="H7" s="5">
        <v>0.8</v>
      </c>
      <c r="I7" s="9">
        <v>45</v>
      </c>
      <c r="J7" s="7">
        <v>13222</v>
      </c>
      <c r="K7" s="3">
        <f>Table1[[#This Row],[Actual_Spend]] -Table1[[#This Row],[Budget_Monthly]]</f>
        <v>-5000</v>
      </c>
    </row>
    <row r="8" spans="1:11" ht="15.75" customHeight="1" x14ac:dyDescent="0.35">
      <c r="A8" s="2">
        <v>45658</v>
      </c>
      <c r="B8" s="1" t="s">
        <v>22</v>
      </c>
      <c r="C8" s="1" t="s">
        <v>14</v>
      </c>
      <c r="D8" s="3">
        <v>300000</v>
      </c>
      <c r="E8" s="3">
        <v>25000</v>
      </c>
      <c r="F8" s="3">
        <v>28000</v>
      </c>
      <c r="G8" s="3">
        <v>-3000</v>
      </c>
      <c r="H8" s="5">
        <v>-12</v>
      </c>
      <c r="I8" s="9">
        <v>45</v>
      </c>
      <c r="J8" s="7">
        <v>622</v>
      </c>
      <c r="K8" s="3">
        <f>Table1[[#This Row],[Actual_Spend]] -Table1[[#This Row],[Budget_Monthly]]</f>
        <v>3000</v>
      </c>
    </row>
    <row r="9" spans="1:11" ht="15.75" customHeight="1" x14ac:dyDescent="0.35">
      <c r="A9" s="2">
        <v>45658</v>
      </c>
      <c r="B9" s="1" t="s">
        <v>22</v>
      </c>
      <c r="C9" s="1" t="s">
        <v>18</v>
      </c>
      <c r="D9" s="3">
        <v>480000</v>
      </c>
      <c r="E9" s="3">
        <v>40000</v>
      </c>
      <c r="F9" s="3">
        <v>52000</v>
      </c>
      <c r="G9" s="3">
        <v>-12000</v>
      </c>
      <c r="H9" s="5">
        <v>-30</v>
      </c>
      <c r="I9" s="9">
        <v>45</v>
      </c>
      <c r="J9" s="7">
        <v>1156</v>
      </c>
      <c r="K9" s="3">
        <f>Table1[[#This Row],[Actual_Spend]] -Table1[[#This Row],[Budget_Monthly]]</f>
        <v>12000</v>
      </c>
    </row>
    <row r="10" spans="1:11" ht="15.75" customHeight="1" x14ac:dyDescent="0.35">
      <c r="A10" s="2">
        <v>45658</v>
      </c>
      <c r="B10" s="1" t="s">
        <v>22</v>
      </c>
      <c r="C10" s="1" t="s">
        <v>26</v>
      </c>
      <c r="D10" s="3">
        <v>360000</v>
      </c>
      <c r="E10" s="3">
        <v>30000</v>
      </c>
      <c r="F10" s="3">
        <v>32000</v>
      </c>
      <c r="G10" s="3">
        <v>-2000</v>
      </c>
      <c r="H10" s="5">
        <v>-6.7</v>
      </c>
      <c r="I10" s="9">
        <v>45</v>
      </c>
      <c r="J10" s="7">
        <v>711</v>
      </c>
      <c r="K10" s="3">
        <f>Table1[[#This Row],[Actual_Spend]] -Table1[[#This Row],[Budget_Monthly]]</f>
        <v>2000</v>
      </c>
    </row>
    <row r="11" spans="1:11" ht="15.75" customHeight="1" x14ac:dyDescent="0.35">
      <c r="A11" s="2">
        <v>45658</v>
      </c>
      <c r="B11" s="1" t="s">
        <v>22</v>
      </c>
      <c r="C11" s="1" t="s">
        <v>20</v>
      </c>
      <c r="D11" s="3">
        <v>180000</v>
      </c>
      <c r="E11" s="3">
        <v>15000</v>
      </c>
      <c r="F11" s="3">
        <v>14200</v>
      </c>
      <c r="G11" s="3">
        <v>800</v>
      </c>
      <c r="H11" s="5">
        <v>5.3</v>
      </c>
      <c r="I11" s="9">
        <v>45</v>
      </c>
      <c r="J11" s="7">
        <v>316</v>
      </c>
      <c r="K11" s="3">
        <f>Table1[[#This Row],[Actual_Spend]] -Table1[[#This Row],[Budget_Monthly]]</f>
        <v>-800</v>
      </c>
    </row>
    <row r="12" spans="1:11" ht="15.75" customHeight="1" x14ac:dyDescent="0.35">
      <c r="A12" s="2">
        <v>45658</v>
      </c>
      <c r="B12" s="1" t="s">
        <v>26</v>
      </c>
      <c r="C12" s="1" t="s">
        <v>12</v>
      </c>
      <c r="D12" s="3">
        <v>3600000</v>
      </c>
      <c r="E12" s="3">
        <v>300000</v>
      </c>
      <c r="F12" s="3">
        <v>305000</v>
      </c>
      <c r="G12" s="3">
        <v>-5000</v>
      </c>
      <c r="H12" s="5">
        <v>-1.7</v>
      </c>
      <c r="I12" s="9">
        <v>25</v>
      </c>
      <c r="J12" s="7">
        <v>12200</v>
      </c>
      <c r="K12" s="3">
        <f>Table1[[#This Row],[Actual_Spend]] -Table1[[#This Row],[Budget_Monthly]]</f>
        <v>5000</v>
      </c>
    </row>
    <row r="13" spans="1:11" ht="15.75" customHeight="1" x14ac:dyDescent="0.35">
      <c r="A13" s="2">
        <v>45658</v>
      </c>
      <c r="B13" s="1" t="s">
        <v>26</v>
      </c>
      <c r="C13" s="1" t="s">
        <v>14</v>
      </c>
      <c r="D13" s="3">
        <v>600000</v>
      </c>
      <c r="E13" s="3">
        <v>50000</v>
      </c>
      <c r="F13" s="3">
        <v>48000</v>
      </c>
      <c r="G13" s="3">
        <v>2000</v>
      </c>
      <c r="H13" s="5">
        <v>4</v>
      </c>
      <c r="I13" s="9">
        <v>25</v>
      </c>
      <c r="J13" s="7">
        <v>1920</v>
      </c>
      <c r="K13" s="3">
        <f>Table1[[#This Row],[Actual_Spend]] -Table1[[#This Row],[Budget_Monthly]]</f>
        <v>-2000</v>
      </c>
    </row>
    <row r="14" spans="1:11" ht="15.75" customHeight="1" x14ac:dyDescent="0.35">
      <c r="A14" s="2">
        <v>45658</v>
      </c>
      <c r="B14" s="1" t="s">
        <v>26</v>
      </c>
      <c r="C14" s="1" t="s">
        <v>31</v>
      </c>
      <c r="D14" s="3">
        <v>2400000</v>
      </c>
      <c r="E14" s="3">
        <v>200000</v>
      </c>
      <c r="F14" s="3">
        <v>195000</v>
      </c>
      <c r="G14" s="3">
        <v>5000</v>
      </c>
      <c r="H14" s="5">
        <v>2.5</v>
      </c>
      <c r="I14" s="9">
        <v>25</v>
      </c>
      <c r="J14" s="7">
        <v>7800</v>
      </c>
      <c r="K14" s="3">
        <f>Table1[[#This Row],[Actual_Spend]] -Table1[[#This Row],[Budget_Monthly]]</f>
        <v>-5000</v>
      </c>
    </row>
    <row r="15" spans="1:11" ht="15.75" customHeight="1" x14ac:dyDescent="0.35">
      <c r="A15" s="2">
        <v>45658</v>
      </c>
      <c r="B15" s="1" t="s">
        <v>26</v>
      </c>
      <c r="C15" s="1" t="s">
        <v>16</v>
      </c>
      <c r="D15" s="3">
        <v>240000</v>
      </c>
      <c r="E15" s="3">
        <v>20000</v>
      </c>
      <c r="F15" s="3">
        <v>25000</v>
      </c>
      <c r="G15" s="3">
        <v>-5000</v>
      </c>
      <c r="H15" s="5">
        <v>-25</v>
      </c>
      <c r="I15" s="9">
        <v>25</v>
      </c>
      <c r="J15" s="7">
        <v>1000</v>
      </c>
      <c r="K15" s="3">
        <f>Table1[[#This Row],[Actual_Spend]] -Table1[[#This Row],[Budget_Monthly]]</f>
        <v>5000</v>
      </c>
    </row>
    <row r="16" spans="1:11" ht="15.75" customHeight="1" x14ac:dyDescent="0.35">
      <c r="A16" s="2">
        <v>45658</v>
      </c>
      <c r="B16" s="1" t="s">
        <v>26</v>
      </c>
      <c r="C16" s="1" t="s">
        <v>18</v>
      </c>
      <c r="D16" s="3">
        <v>120000</v>
      </c>
      <c r="E16" s="3">
        <v>10000</v>
      </c>
      <c r="F16" s="3">
        <v>12000</v>
      </c>
      <c r="G16" s="3">
        <v>-2000</v>
      </c>
      <c r="H16" s="5">
        <v>-20</v>
      </c>
      <c r="I16" s="9">
        <v>25</v>
      </c>
      <c r="J16" s="7">
        <v>480</v>
      </c>
      <c r="K16" s="3">
        <f>Table1[[#This Row],[Actual_Spend]] -Table1[[#This Row],[Budget_Monthly]]</f>
        <v>2000</v>
      </c>
    </row>
    <row r="17" spans="1:11" ht="15.75" customHeight="1" x14ac:dyDescent="0.35">
      <c r="A17" s="2">
        <v>45658</v>
      </c>
      <c r="B17" s="1" t="s">
        <v>35</v>
      </c>
      <c r="C17" s="1" t="s">
        <v>12</v>
      </c>
      <c r="D17" s="3">
        <v>4800000</v>
      </c>
      <c r="E17" s="3">
        <v>400000</v>
      </c>
      <c r="F17" s="3">
        <v>410000</v>
      </c>
      <c r="G17" s="3">
        <v>-10000</v>
      </c>
      <c r="H17" s="5">
        <v>-2.5</v>
      </c>
      <c r="I17" s="9">
        <v>35</v>
      </c>
      <c r="J17" s="7">
        <v>11714</v>
      </c>
      <c r="K17" s="3">
        <f>Table1[[#This Row],[Actual_Spend]] -Table1[[#This Row],[Budget_Monthly]]</f>
        <v>10000</v>
      </c>
    </row>
    <row r="18" spans="1:11" ht="15.75" customHeight="1" x14ac:dyDescent="0.35">
      <c r="A18" s="2">
        <v>45658</v>
      </c>
      <c r="B18" s="1" t="s">
        <v>35</v>
      </c>
      <c r="C18" s="1" t="s">
        <v>14</v>
      </c>
      <c r="D18" s="3">
        <v>180000</v>
      </c>
      <c r="E18" s="3">
        <v>15000</v>
      </c>
      <c r="F18" s="3">
        <v>16000</v>
      </c>
      <c r="G18" s="3">
        <v>-1000</v>
      </c>
      <c r="H18" s="5">
        <v>-6.7</v>
      </c>
      <c r="I18" s="9">
        <v>35</v>
      </c>
      <c r="J18" s="7">
        <v>457</v>
      </c>
      <c r="K18" s="3">
        <f>Table1[[#This Row],[Actual_Spend]] -Table1[[#This Row],[Budget_Monthly]]</f>
        <v>1000</v>
      </c>
    </row>
    <row r="19" spans="1:11" ht="15.75" customHeight="1" x14ac:dyDescent="0.35">
      <c r="A19" s="2">
        <v>45658</v>
      </c>
      <c r="B19" s="1" t="s">
        <v>35</v>
      </c>
      <c r="C19" s="1" t="s">
        <v>16</v>
      </c>
      <c r="D19" s="3">
        <v>120000</v>
      </c>
      <c r="E19" s="3">
        <v>10000</v>
      </c>
      <c r="F19" s="3">
        <v>8500</v>
      </c>
      <c r="G19" s="3">
        <v>1500</v>
      </c>
      <c r="H19" s="5">
        <v>15</v>
      </c>
      <c r="I19" s="9">
        <v>35</v>
      </c>
      <c r="J19" s="7">
        <v>243</v>
      </c>
      <c r="K19" s="3">
        <f>Table1[[#This Row],[Actual_Spend]] -Table1[[#This Row],[Budget_Monthly]]</f>
        <v>-1500</v>
      </c>
    </row>
    <row r="20" spans="1:11" ht="15.75" customHeight="1" x14ac:dyDescent="0.35">
      <c r="A20" s="2">
        <v>45658</v>
      </c>
      <c r="B20" s="1" t="s">
        <v>35</v>
      </c>
      <c r="C20" s="1" t="s">
        <v>18</v>
      </c>
      <c r="D20" s="3">
        <v>60000</v>
      </c>
      <c r="E20" s="3">
        <v>5000</v>
      </c>
      <c r="F20" s="3">
        <v>4200</v>
      </c>
      <c r="G20" s="3">
        <v>800</v>
      </c>
      <c r="H20" s="5">
        <v>16</v>
      </c>
      <c r="I20" s="9">
        <v>35</v>
      </c>
      <c r="J20" s="7">
        <v>120</v>
      </c>
      <c r="K20" s="3">
        <f>Table1[[#This Row],[Actual_Spend]] -Table1[[#This Row],[Budget_Monthly]]</f>
        <v>-800</v>
      </c>
    </row>
    <row r="21" spans="1:11" ht="15.75" customHeight="1" x14ac:dyDescent="0.35">
      <c r="A21" s="2">
        <v>45658</v>
      </c>
      <c r="B21" s="1" t="s">
        <v>40</v>
      </c>
      <c r="C21" s="1" t="s">
        <v>12</v>
      </c>
      <c r="D21" s="3">
        <v>2400000</v>
      </c>
      <c r="E21" s="3">
        <v>200000</v>
      </c>
      <c r="F21" s="3">
        <v>198000</v>
      </c>
      <c r="G21" s="3">
        <v>2000</v>
      </c>
      <c r="H21" s="5">
        <v>1</v>
      </c>
      <c r="I21" s="9">
        <v>30</v>
      </c>
      <c r="J21" s="7">
        <v>6600</v>
      </c>
      <c r="K21" s="3">
        <f>Table1[[#This Row],[Actual_Spend]] -Table1[[#This Row],[Budget_Monthly]]</f>
        <v>-2000</v>
      </c>
    </row>
    <row r="22" spans="1:11" ht="15.75" customHeight="1" x14ac:dyDescent="0.35">
      <c r="A22" s="2">
        <v>45658</v>
      </c>
      <c r="B22" s="1" t="s">
        <v>40</v>
      </c>
      <c r="C22" s="1" t="s">
        <v>14</v>
      </c>
      <c r="D22" s="3">
        <v>120000</v>
      </c>
      <c r="E22" s="3">
        <v>10000</v>
      </c>
      <c r="F22" s="3">
        <v>11000</v>
      </c>
      <c r="G22" s="3">
        <v>-1000</v>
      </c>
      <c r="H22" s="5">
        <v>-10</v>
      </c>
      <c r="I22" s="9">
        <v>30</v>
      </c>
      <c r="J22" s="7">
        <v>367</v>
      </c>
      <c r="K22" s="3">
        <f>Table1[[#This Row],[Actual_Spend]] -Table1[[#This Row],[Budget_Monthly]]</f>
        <v>1000</v>
      </c>
    </row>
    <row r="23" spans="1:11" ht="15.75" customHeight="1" x14ac:dyDescent="0.35">
      <c r="A23" s="2">
        <v>45658</v>
      </c>
      <c r="B23" s="1" t="s">
        <v>40</v>
      </c>
      <c r="C23" s="1" t="s">
        <v>18</v>
      </c>
      <c r="D23" s="3">
        <v>96000</v>
      </c>
      <c r="E23" s="3">
        <v>8000</v>
      </c>
      <c r="F23" s="3">
        <v>9500</v>
      </c>
      <c r="G23" s="3">
        <v>-1500</v>
      </c>
      <c r="H23" s="5">
        <v>-18.8</v>
      </c>
      <c r="I23" s="9">
        <v>30</v>
      </c>
      <c r="J23" s="7">
        <v>317</v>
      </c>
      <c r="K23" s="3">
        <f>Table1[[#This Row],[Actual_Spend]] -Table1[[#This Row],[Budget_Monthly]]</f>
        <v>1500</v>
      </c>
    </row>
    <row r="24" spans="1:11" ht="15.75" customHeight="1" x14ac:dyDescent="0.35">
      <c r="A24" s="2">
        <v>45658</v>
      </c>
      <c r="B24" s="1" t="s">
        <v>40</v>
      </c>
      <c r="C24" s="1" t="s">
        <v>20</v>
      </c>
      <c r="D24" s="3">
        <v>72000</v>
      </c>
      <c r="E24" s="3">
        <v>6000</v>
      </c>
      <c r="F24" s="3">
        <v>5800</v>
      </c>
      <c r="G24" s="3">
        <v>200</v>
      </c>
      <c r="H24" s="5">
        <v>3.3</v>
      </c>
      <c r="I24" s="9">
        <v>30</v>
      </c>
      <c r="J24" s="7">
        <v>193</v>
      </c>
      <c r="K24" s="3">
        <f>Table1[[#This Row],[Actual_Spend]] -Table1[[#This Row],[Budget_Monthly]]</f>
        <v>-200</v>
      </c>
    </row>
    <row r="25" spans="1:11" ht="15.75" customHeight="1" x14ac:dyDescent="0.35">
      <c r="A25" s="2">
        <v>45658</v>
      </c>
      <c r="B25" s="1" t="s">
        <v>45</v>
      </c>
      <c r="C25" s="1" t="s">
        <v>12</v>
      </c>
      <c r="D25" s="3">
        <v>1800000</v>
      </c>
      <c r="E25" s="3">
        <v>150000</v>
      </c>
      <c r="F25" s="3">
        <v>148000</v>
      </c>
      <c r="G25" s="3">
        <v>2000</v>
      </c>
      <c r="H25" s="5">
        <v>1.3</v>
      </c>
      <c r="I25" s="9">
        <v>12</v>
      </c>
      <c r="J25" s="7">
        <v>12333</v>
      </c>
      <c r="K25" s="3">
        <f>Table1[[#This Row],[Actual_Spend]] -Table1[[#This Row],[Budget_Monthly]]</f>
        <v>-2000</v>
      </c>
    </row>
    <row r="26" spans="1:11" ht="15.75" customHeight="1" x14ac:dyDescent="0.35">
      <c r="A26" s="2">
        <v>45658</v>
      </c>
      <c r="B26" s="1" t="s">
        <v>45</v>
      </c>
      <c r="C26" s="1" t="s">
        <v>14</v>
      </c>
      <c r="D26" s="3">
        <v>120000</v>
      </c>
      <c r="E26" s="3">
        <v>10000</v>
      </c>
      <c r="F26" s="3">
        <v>9500</v>
      </c>
      <c r="G26" s="3">
        <v>500</v>
      </c>
      <c r="H26" s="5">
        <v>5</v>
      </c>
      <c r="I26" s="9">
        <v>12</v>
      </c>
      <c r="J26" s="7">
        <v>792</v>
      </c>
      <c r="K26" s="3">
        <f>Table1[[#This Row],[Actual_Spend]] -Table1[[#This Row],[Budget_Monthly]]</f>
        <v>-500</v>
      </c>
    </row>
    <row r="27" spans="1:11" ht="15.75" customHeight="1" x14ac:dyDescent="0.35">
      <c r="A27" s="2">
        <v>45658</v>
      </c>
      <c r="B27" s="1" t="s">
        <v>45</v>
      </c>
      <c r="C27" s="1" t="s">
        <v>16</v>
      </c>
      <c r="D27" s="3">
        <v>240000</v>
      </c>
      <c r="E27" s="3">
        <v>20000</v>
      </c>
      <c r="F27" s="3">
        <v>22000</v>
      </c>
      <c r="G27" s="3">
        <v>-2000</v>
      </c>
      <c r="H27" s="5">
        <v>-10</v>
      </c>
      <c r="I27" s="9">
        <v>12</v>
      </c>
      <c r="J27" s="7">
        <v>1833</v>
      </c>
      <c r="K27" s="3">
        <f>Table1[[#This Row],[Actual_Spend]] -Table1[[#This Row],[Budget_Monthly]]</f>
        <v>2000</v>
      </c>
    </row>
    <row r="28" spans="1:11" ht="15.75" customHeight="1" x14ac:dyDescent="0.35">
      <c r="A28" s="2">
        <v>45658</v>
      </c>
      <c r="B28" s="1" t="s">
        <v>45</v>
      </c>
      <c r="C28" s="1" t="s">
        <v>20</v>
      </c>
      <c r="D28" s="3">
        <v>60000</v>
      </c>
      <c r="E28" s="3">
        <v>5000</v>
      </c>
      <c r="F28" s="3">
        <v>4800</v>
      </c>
      <c r="G28" s="3">
        <v>200</v>
      </c>
      <c r="H28" s="5">
        <v>4</v>
      </c>
      <c r="I28" s="9">
        <v>12</v>
      </c>
      <c r="J28" s="7">
        <v>400</v>
      </c>
      <c r="K28" s="3">
        <f>Table1[[#This Row],[Actual_Spend]] -Table1[[#This Row],[Budget_Monthly]]</f>
        <v>-200</v>
      </c>
    </row>
    <row r="29" spans="1:11" ht="15.75" customHeight="1" x14ac:dyDescent="0.35">
      <c r="A29" s="2">
        <v>45658</v>
      </c>
      <c r="B29" s="1" t="s">
        <v>50</v>
      </c>
      <c r="C29" s="1" t="s">
        <v>12</v>
      </c>
      <c r="D29" s="3">
        <v>1200000</v>
      </c>
      <c r="E29" s="3">
        <v>100000</v>
      </c>
      <c r="F29" s="3">
        <v>102000</v>
      </c>
      <c r="G29" s="3">
        <v>-2000</v>
      </c>
      <c r="H29" s="5">
        <v>-2</v>
      </c>
      <c r="I29" s="9">
        <v>8</v>
      </c>
      <c r="J29" s="7">
        <v>12750</v>
      </c>
      <c r="K29" s="3">
        <f>Table1[[#This Row],[Actual_Spend]] -Table1[[#This Row],[Budget_Monthly]]</f>
        <v>2000</v>
      </c>
    </row>
    <row r="30" spans="1:11" ht="15.75" customHeight="1" x14ac:dyDescent="0.35">
      <c r="A30" s="2">
        <v>45658</v>
      </c>
      <c r="B30" s="1" t="s">
        <v>50</v>
      </c>
      <c r="C30" s="1" t="s">
        <v>14</v>
      </c>
      <c r="D30" s="3">
        <v>96000</v>
      </c>
      <c r="E30" s="3">
        <v>8000</v>
      </c>
      <c r="F30" s="3">
        <v>8500</v>
      </c>
      <c r="G30" s="3">
        <v>-500</v>
      </c>
      <c r="H30" s="5">
        <v>-6.3</v>
      </c>
      <c r="I30" s="9">
        <v>8</v>
      </c>
      <c r="J30" s="7">
        <v>1063</v>
      </c>
      <c r="K30" s="3">
        <f>Table1[[#This Row],[Actual_Spend]] -Table1[[#This Row],[Budget_Monthly]]</f>
        <v>500</v>
      </c>
    </row>
    <row r="31" spans="1:11" ht="15.75" customHeight="1" x14ac:dyDescent="0.35">
      <c r="A31" s="2">
        <v>45658</v>
      </c>
      <c r="B31" s="1" t="s">
        <v>50</v>
      </c>
      <c r="C31" s="1" t="s">
        <v>16</v>
      </c>
      <c r="D31" s="3">
        <v>144000</v>
      </c>
      <c r="E31" s="3">
        <v>12000</v>
      </c>
      <c r="F31" s="3">
        <v>15000</v>
      </c>
      <c r="G31" s="3">
        <v>-3000</v>
      </c>
      <c r="H31" s="5">
        <v>-25</v>
      </c>
      <c r="I31" s="9">
        <v>8</v>
      </c>
      <c r="J31" s="7">
        <v>1875</v>
      </c>
      <c r="K31" s="3">
        <f>Table1[[#This Row],[Actual_Spend]] -Table1[[#This Row],[Budget_Monthly]]</f>
        <v>3000</v>
      </c>
    </row>
    <row r="32" spans="1:11" ht="15.75" customHeight="1" x14ac:dyDescent="0.35">
      <c r="A32" s="2">
        <v>45658</v>
      </c>
      <c r="B32" s="1" t="s">
        <v>50</v>
      </c>
      <c r="C32" s="1" t="s">
        <v>20</v>
      </c>
      <c r="D32" s="3">
        <v>72000</v>
      </c>
      <c r="E32" s="3">
        <v>6000</v>
      </c>
      <c r="F32" s="3">
        <v>5500</v>
      </c>
      <c r="G32" s="3">
        <v>500</v>
      </c>
      <c r="H32" s="5">
        <v>8.3000000000000007</v>
      </c>
      <c r="I32" s="9">
        <v>8</v>
      </c>
      <c r="J32" s="7">
        <v>688</v>
      </c>
      <c r="K32" s="3">
        <f>Table1[[#This Row],[Actual_Spend]] -Table1[[#This Row],[Budget_Monthly]]</f>
        <v>-500</v>
      </c>
    </row>
    <row r="33" spans="1:11" ht="15.75" customHeight="1" x14ac:dyDescent="0.35">
      <c r="A33" s="2">
        <v>45658</v>
      </c>
      <c r="B33" s="1" t="s">
        <v>20</v>
      </c>
      <c r="C33" s="1" t="s">
        <v>12</v>
      </c>
      <c r="D33" s="3">
        <v>1800000</v>
      </c>
      <c r="E33" s="3">
        <v>150000</v>
      </c>
      <c r="F33" s="3">
        <v>145000</v>
      </c>
      <c r="G33" s="3">
        <v>5000</v>
      </c>
      <c r="H33" s="5">
        <v>3.3</v>
      </c>
      <c r="I33" s="9">
        <v>20</v>
      </c>
      <c r="J33" s="7">
        <v>7250</v>
      </c>
      <c r="K33" s="3">
        <f>Table1[[#This Row],[Actual_Spend]] -Table1[[#This Row],[Budget_Monthly]]</f>
        <v>-5000</v>
      </c>
    </row>
    <row r="34" spans="1:11" ht="15.75" customHeight="1" x14ac:dyDescent="0.35">
      <c r="A34" s="2">
        <v>45658</v>
      </c>
      <c r="B34" s="1" t="s">
        <v>20</v>
      </c>
      <c r="C34" s="1" t="s">
        <v>14</v>
      </c>
      <c r="D34" s="3">
        <v>360000</v>
      </c>
      <c r="E34" s="3">
        <v>30000</v>
      </c>
      <c r="F34" s="3">
        <v>32000</v>
      </c>
      <c r="G34" s="3">
        <v>-2000</v>
      </c>
      <c r="H34" s="5">
        <v>-6.7</v>
      </c>
      <c r="I34" s="9">
        <v>20</v>
      </c>
      <c r="J34" s="7">
        <v>1600</v>
      </c>
      <c r="K34" s="3">
        <f>Table1[[#This Row],[Actual_Spend]] -Table1[[#This Row],[Budget_Monthly]]</f>
        <v>2000</v>
      </c>
    </row>
    <row r="35" spans="1:11" ht="15.75" customHeight="1" x14ac:dyDescent="0.35">
      <c r="A35" s="2">
        <v>45658</v>
      </c>
      <c r="B35" s="1" t="s">
        <v>20</v>
      </c>
      <c r="C35" s="1" t="s">
        <v>16</v>
      </c>
      <c r="D35" s="3">
        <v>120000</v>
      </c>
      <c r="E35" s="3">
        <v>10000</v>
      </c>
      <c r="F35" s="3">
        <v>8000</v>
      </c>
      <c r="G35" s="3">
        <v>2000</v>
      </c>
      <c r="H35" s="5">
        <v>20</v>
      </c>
      <c r="I35" s="9">
        <v>20</v>
      </c>
      <c r="J35" s="7">
        <v>400</v>
      </c>
      <c r="K35" s="3">
        <f>Table1[[#This Row],[Actual_Spend]] -Table1[[#This Row],[Budget_Monthly]]</f>
        <v>-2000</v>
      </c>
    </row>
    <row r="36" spans="1:11" ht="15.75" customHeight="1" x14ac:dyDescent="0.35">
      <c r="A36" s="2">
        <v>45658</v>
      </c>
      <c r="B36" s="1" t="s">
        <v>20</v>
      </c>
      <c r="C36" s="1" t="s">
        <v>18</v>
      </c>
      <c r="D36" s="3">
        <v>48000</v>
      </c>
      <c r="E36" s="3">
        <v>4000</v>
      </c>
      <c r="F36" s="3">
        <v>3500</v>
      </c>
      <c r="G36" s="3">
        <v>500</v>
      </c>
      <c r="H36" s="5">
        <v>12.5</v>
      </c>
      <c r="I36" s="9">
        <v>20</v>
      </c>
      <c r="J36" s="7">
        <v>175</v>
      </c>
      <c r="K36" s="3">
        <f>Table1[[#This Row],[Actual_Spend]] -Table1[[#This Row],[Budget_Monthly]]</f>
        <v>-500</v>
      </c>
    </row>
    <row r="37" spans="1:11" ht="15.75" customHeight="1" x14ac:dyDescent="0.35">
      <c r="A37" s="2">
        <v>45658</v>
      </c>
      <c r="B37" s="1" t="s">
        <v>20</v>
      </c>
      <c r="C37" s="1" t="s">
        <v>59</v>
      </c>
      <c r="D37" s="3">
        <v>480000</v>
      </c>
      <c r="E37" s="3">
        <v>40000</v>
      </c>
      <c r="F37" s="3">
        <v>38000</v>
      </c>
      <c r="G37" s="3">
        <v>2000</v>
      </c>
      <c r="H37" s="5">
        <v>5</v>
      </c>
      <c r="I37" s="9">
        <v>20</v>
      </c>
      <c r="J37" s="7">
        <v>1900</v>
      </c>
      <c r="K37" s="3">
        <f>Table1[[#This Row],[Actual_Spend]] -Table1[[#This Row],[Budget_Monthly]]</f>
        <v>-2000</v>
      </c>
    </row>
    <row r="38" spans="1:11" ht="12.75" x14ac:dyDescent="0.35">
      <c r="A38" s="2">
        <v>45689</v>
      </c>
      <c r="B38" s="1" t="s">
        <v>11</v>
      </c>
      <c r="C38" s="1" t="s">
        <v>12</v>
      </c>
      <c r="D38" s="3">
        <v>18000000</v>
      </c>
      <c r="E38" s="3">
        <v>1500000</v>
      </c>
      <c r="F38" s="3">
        <v>1535000</v>
      </c>
      <c r="G38" s="3">
        <v>-35000</v>
      </c>
      <c r="H38" s="5">
        <v>-2.2999999999999998</v>
      </c>
      <c r="I38" s="9">
        <v>128</v>
      </c>
      <c r="J38" s="7">
        <v>11992</v>
      </c>
      <c r="K38" s="3">
        <f>Table1[[#This Row],[Actual_Spend]] -Table1[[#This Row],[Budget_Monthly]]</f>
        <v>35000</v>
      </c>
    </row>
    <row r="39" spans="1:11" ht="12.75" x14ac:dyDescent="0.35">
      <c r="A39" s="2">
        <v>45689</v>
      </c>
      <c r="B39" s="1" t="s">
        <v>11</v>
      </c>
      <c r="C39" s="1" t="s">
        <v>14</v>
      </c>
      <c r="D39" s="3">
        <v>1200000</v>
      </c>
      <c r="E39" s="3">
        <v>100000</v>
      </c>
      <c r="F39" s="3">
        <v>102000</v>
      </c>
      <c r="G39" s="3">
        <v>-2000</v>
      </c>
      <c r="H39" s="5">
        <v>-2</v>
      </c>
      <c r="I39" s="9">
        <v>128</v>
      </c>
      <c r="J39" s="7">
        <v>797</v>
      </c>
      <c r="K39" s="3">
        <f>Table1[[#This Row],[Actual_Spend]] -Table1[[#This Row],[Budget_Monthly]]</f>
        <v>2000</v>
      </c>
    </row>
    <row r="40" spans="1:11" ht="12.75" x14ac:dyDescent="0.35">
      <c r="A40" s="2">
        <v>45689</v>
      </c>
      <c r="B40" s="1" t="s">
        <v>11</v>
      </c>
      <c r="C40" s="1" t="s">
        <v>16</v>
      </c>
      <c r="D40" s="3">
        <v>360000</v>
      </c>
      <c r="E40" s="3">
        <v>30000</v>
      </c>
      <c r="F40" s="3">
        <v>25000</v>
      </c>
      <c r="G40" s="3">
        <v>5000</v>
      </c>
      <c r="H40" s="5">
        <v>16.7</v>
      </c>
      <c r="I40" s="9">
        <v>128</v>
      </c>
      <c r="J40" s="7">
        <v>195</v>
      </c>
      <c r="K40" s="3">
        <f>Table1[[#This Row],[Actual_Spend]] -Table1[[#This Row],[Budget_Monthly]]</f>
        <v>-5000</v>
      </c>
    </row>
    <row r="41" spans="1:11" ht="12.75" x14ac:dyDescent="0.35">
      <c r="A41" s="2">
        <v>45689</v>
      </c>
      <c r="B41" s="1" t="s">
        <v>11</v>
      </c>
      <c r="C41" s="1" t="s">
        <v>18</v>
      </c>
      <c r="D41" s="3">
        <v>120000</v>
      </c>
      <c r="E41" s="3">
        <v>10000</v>
      </c>
      <c r="F41" s="3">
        <v>7500</v>
      </c>
      <c r="G41" s="3">
        <v>2500</v>
      </c>
      <c r="H41" s="5">
        <v>25</v>
      </c>
      <c r="I41" s="9">
        <v>128</v>
      </c>
      <c r="J41" s="7">
        <v>59</v>
      </c>
      <c r="K41" s="3">
        <f>Table1[[#This Row],[Actual_Spend]] -Table1[[#This Row],[Budget_Monthly]]</f>
        <v>-2500</v>
      </c>
    </row>
    <row r="42" spans="1:11" ht="12.75" x14ac:dyDescent="0.35">
      <c r="A42" s="2">
        <v>45689</v>
      </c>
      <c r="B42" s="1" t="s">
        <v>11</v>
      </c>
      <c r="C42" s="1" t="s">
        <v>20</v>
      </c>
      <c r="D42" s="3">
        <v>240000</v>
      </c>
      <c r="E42" s="3">
        <v>20000</v>
      </c>
      <c r="F42" s="3">
        <v>19000</v>
      </c>
      <c r="G42" s="3">
        <v>1000</v>
      </c>
      <c r="H42" s="5">
        <v>5</v>
      </c>
      <c r="I42" s="9">
        <v>128</v>
      </c>
      <c r="J42" s="7">
        <v>148</v>
      </c>
      <c r="K42" s="3">
        <f>Table1[[#This Row],[Actual_Spend]] -Table1[[#This Row],[Budget_Monthly]]</f>
        <v>-1000</v>
      </c>
    </row>
    <row r="43" spans="1:11" ht="12.75" x14ac:dyDescent="0.35">
      <c r="A43" s="2">
        <v>45689</v>
      </c>
      <c r="B43" s="1" t="s">
        <v>22</v>
      </c>
      <c r="C43" s="1" t="s">
        <v>12</v>
      </c>
      <c r="D43" s="3">
        <v>7200000</v>
      </c>
      <c r="E43" s="3">
        <v>600000</v>
      </c>
      <c r="F43" s="3">
        <v>610000</v>
      </c>
      <c r="G43" s="3">
        <v>-10000</v>
      </c>
      <c r="H43" s="5">
        <v>-1.7</v>
      </c>
      <c r="I43" s="9">
        <v>47</v>
      </c>
      <c r="J43" s="7">
        <v>12979</v>
      </c>
      <c r="K43" s="3">
        <f>Table1[[#This Row],[Actual_Spend]] -Table1[[#This Row],[Budget_Monthly]]</f>
        <v>10000</v>
      </c>
    </row>
    <row r="44" spans="1:11" ht="12.75" x14ac:dyDescent="0.35">
      <c r="A44" s="2">
        <v>45689</v>
      </c>
      <c r="B44" s="1" t="s">
        <v>22</v>
      </c>
      <c r="C44" s="1" t="s">
        <v>14</v>
      </c>
      <c r="D44" s="3">
        <v>300000</v>
      </c>
      <c r="E44" s="3">
        <v>25000</v>
      </c>
      <c r="F44" s="3">
        <v>26000</v>
      </c>
      <c r="G44" s="3">
        <v>-1000</v>
      </c>
      <c r="H44" s="5">
        <v>-4</v>
      </c>
      <c r="I44" s="9">
        <v>47</v>
      </c>
      <c r="J44" s="7">
        <v>553</v>
      </c>
      <c r="K44" s="3">
        <f>Table1[[#This Row],[Actual_Spend]] -Table1[[#This Row],[Budget_Monthly]]</f>
        <v>1000</v>
      </c>
    </row>
    <row r="45" spans="1:11" ht="12.75" x14ac:dyDescent="0.35">
      <c r="A45" s="2">
        <v>45689</v>
      </c>
      <c r="B45" s="1" t="s">
        <v>22</v>
      </c>
      <c r="C45" s="1" t="s">
        <v>18</v>
      </c>
      <c r="D45" s="3">
        <v>480000</v>
      </c>
      <c r="E45" s="3">
        <v>40000</v>
      </c>
      <c r="F45" s="3">
        <v>48000</v>
      </c>
      <c r="G45" s="3">
        <v>-8000</v>
      </c>
      <c r="H45" s="5">
        <v>-20</v>
      </c>
      <c r="I45" s="9">
        <v>47</v>
      </c>
      <c r="J45" s="7">
        <v>1021</v>
      </c>
      <c r="K45" s="3">
        <f>Table1[[#This Row],[Actual_Spend]] -Table1[[#This Row],[Budget_Monthly]]</f>
        <v>8000</v>
      </c>
    </row>
    <row r="46" spans="1:11" ht="12.75" x14ac:dyDescent="0.35">
      <c r="A46" s="2">
        <v>45689</v>
      </c>
      <c r="B46" s="1" t="s">
        <v>22</v>
      </c>
      <c r="C46" s="1" t="s">
        <v>26</v>
      </c>
      <c r="D46" s="3">
        <v>360000</v>
      </c>
      <c r="E46" s="3">
        <v>30000</v>
      </c>
      <c r="F46" s="3">
        <v>28000</v>
      </c>
      <c r="G46" s="3">
        <v>2000</v>
      </c>
      <c r="H46" s="5">
        <v>6.7</v>
      </c>
      <c r="I46" s="9">
        <v>47</v>
      </c>
      <c r="J46" s="7">
        <v>596</v>
      </c>
      <c r="K46" s="3">
        <f>Table1[[#This Row],[Actual_Spend]] -Table1[[#This Row],[Budget_Monthly]]</f>
        <v>-2000</v>
      </c>
    </row>
    <row r="47" spans="1:11" ht="12.75" x14ac:dyDescent="0.35">
      <c r="A47" s="2">
        <v>45689</v>
      </c>
      <c r="B47" s="1" t="s">
        <v>22</v>
      </c>
      <c r="C47" s="1" t="s">
        <v>20</v>
      </c>
      <c r="D47" s="3">
        <v>180000</v>
      </c>
      <c r="E47" s="3">
        <v>15000</v>
      </c>
      <c r="F47" s="3">
        <v>15500</v>
      </c>
      <c r="G47" s="3">
        <v>-500</v>
      </c>
      <c r="H47" s="5">
        <v>-3.3</v>
      </c>
      <c r="I47" s="9">
        <v>47</v>
      </c>
      <c r="J47" s="7">
        <v>330</v>
      </c>
      <c r="K47" s="3">
        <f>Table1[[#This Row],[Actual_Spend]] -Table1[[#This Row],[Budget_Monthly]]</f>
        <v>500</v>
      </c>
    </row>
    <row r="48" spans="1:11" ht="12.75" x14ac:dyDescent="0.35">
      <c r="A48" s="2">
        <v>45689</v>
      </c>
      <c r="B48" s="1" t="s">
        <v>26</v>
      </c>
      <c r="C48" s="1" t="s">
        <v>12</v>
      </c>
      <c r="D48" s="3">
        <v>3600000</v>
      </c>
      <c r="E48" s="3">
        <v>300000</v>
      </c>
      <c r="F48" s="3">
        <v>308000</v>
      </c>
      <c r="G48" s="3">
        <v>-8000</v>
      </c>
      <c r="H48" s="5">
        <v>-2.7</v>
      </c>
      <c r="I48" s="9">
        <v>26</v>
      </c>
      <c r="J48" s="7">
        <v>11846</v>
      </c>
      <c r="K48" s="3">
        <f>Table1[[#This Row],[Actual_Spend]] -Table1[[#This Row],[Budget_Monthly]]</f>
        <v>8000</v>
      </c>
    </row>
    <row r="49" spans="1:11" ht="12.75" x14ac:dyDescent="0.35">
      <c r="A49" s="2">
        <v>45689</v>
      </c>
      <c r="B49" s="1" t="s">
        <v>26</v>
      </c>
      <c r="C49" s="1" t="s">
        <v>14</v>
      </c>
      <c r="D49" s="3">
        <v>600000</v>
      </c>
      <c r="E49" s="3">
        <v>50000</v>
      </c>
      <c r="F49" s="3">
        <v>52000</v>
      </c>
      <c r="G49" s="3">
        <v>-2000</v>
      </c>
      <c r="H49" s="5">
        <v>-4</v>
      </c>
      <c r="I49" s="9">
        <v>26</v>
      </c>
      <c r="J49" s="7">
        <v>2000</v>
      </c>
      <c r="K49" s="3">
        <f>Table1[[#This Row],[Actual_Spend]] -Table1[[#This Row],[Budget_Monthly]]</f>
        <v>2000</v>
      </c>
    </row>
    <row r="50" spans="1:11" ht="12.75" x14ac:dyDescent="0.35">
      <c r="A50" s="2">
        <v>45689</v>
      </c>
      <c r="B50" s="1" t="s">
        <v>26</v>
      </c>
      <c r="C50" s="1" t="s">
        <v>31</v>
      </c>
      <c r="D50" s="3">
        <v>2400000</v>
      </c>
      <c r="E50" s="3">
        <v>200000</v>
      </c>
      <c r="F50" s="3">
        <v>210000</v>
      </c>
      <c r="G50" s="3">
        <v>-10000</v>
      </c>
      <c r="H50" s="5">
        <v>-5</v>
      </c>
      <c r="I50" s="9">
        <v>26</v>
      </c>
      <c r="J50" s="7">
        <v>8077</v>
      </c>
      <c r="K50" s="3">
        <f>Table1[[#This Row],[Actual_Spend]] -Table1[[#This Row],[Budget_Monthly]]</f>
        <v>10000</v>
      </c>
    </row>
    <row r="51" spans="1:11" ht="12.75" x14ac:dyDescent="0.35">
      <c r="A51" s="2">
        <v>45689</v>
      </c>
      <c r="B51" s="1" t="s">
        <v>26</v>
      </c>
      <c r="C51" s="1" t="s">
        <v>16</v>
      </c>
      <c r="D51" s="3">
        <v>240000</v>
      </c>
      <c r="E51" s="3">
        <v>20000</v>
      </c>
      <c r="F51" s="3">
        <v>18000</v>
      </c>
      <c r="G51" s="3">
        <v>2000</v>
      </c>
      <c r="H51" s="5">
        <v>10</v>
      </c>
      <c r="I51" s="9">
        <v>26</v>
      </c>
      <c r="J51" s="7">
        <v>692</v>
      </c>
      <c r="K51" s="3">
        <f>Table1[[#This Row],[Actual_Spend]] -Table1[[#This Row],[Budget_Monthly]]</f>
        <v>-2000</v>
      </c>
    </row>
    <row r="52" spans="1:11" ht="12.75" x14ac:dyDescent="0.35">
      <c r="A52" s="2">
        <v>45689</v>
      </c>
      <c r="B52" s="1" t="s">
        <v>26</v>
      </c>
      <c r="C52" s="1" t="s">
        <v>18</v>
      </c>
      <c r="D52" s="3">
        <v>120000</v>
      </c>
      <c r="E52" s="3">
        <v>10000</v>
      </c>
      <c r="F52" s="3">
        <v>8000</v>
      </c>
      <c r="G52" s="3">
        <v>2000</v>
      </c>
      <c r="H52" s="5">
        <v>20</v>
      </c>
      <c r="I52" s="9">
        <v>26</v>
      </c>
      <c r="J52" s="7">
        <v>308</v>
      </c>
      <c r="K52" s="3">
        <f>Table1[[#This Row],[Actual_Spend]] -Table1[[#This Row],[Budget_Monthly]]</f>
        <v>-2000</v>
      </c>
    </row>
    <row r="53" spans="1:11" ht="12.75" x14ac:dyDescent="0.35">
      <c r="A53" s="2">
        <v>45689</v>
      </c>
      <c r="B53" s="1" t="s">
        <v>35</v>
      </c>
      <c r="C53" s="1" t="s">
        <v>12</v>
      </c>
      <c r="D53" s="3">
        <v>4800000</v>
      </c>
      <c r="E53" s="3">
        <v>400000</v>
      </c>
      <c r="F53" s="3">
        <v>415000</v>
      </c>
      <c r="G53" s="3">
        <v>-15000</v>
      </c>
      <c r="H53" s="5">
        <v>-3.8</v>
      </c>
      <c r="I53" s="9">
        <v>36</v>
      </c>
      <c r="J53" s="7">
        <v>11528</v>
      </c>
      <c r="K53" s="3">
        <f>Table1[[#This Row],[Actual_Spend]] -Table1[[#This Row],[Budget_Monthly]]</f>
        <v>15000</v>
      </c>
    </row>
    <row r="54" spans="1:11" ht="12.75" x14ac:dyDescent="0.35">
      <c r="A54" s="2">
        <v>45689</v>
      </c>
      <c r="B54" s="1" t="s">
        <v>35</v>
      </c>
      <c r="C54" s="1" t="s">
        <v>14</v>
      </c>
      <c r="D54" s="3">
        <v>180000</v>
      </c>
      <c r="E54" s="3">
        <v>15000</v>
      </c>
      <c r="F54" s="3">
        <v>15500</v>
      </c>
      <c r="G54" s="3">
        <v>-500</v>
      </c>
      <c r="H54" s="5">
        <v>-3.3</v>
      </c>
      <c r="I54" s="9">
        <v>36</v>
      </c>
      <c r="J54" s="7">
        <v>431</v>
      </c>
      <c r="K54" s="3">
        <f>Table1[[#This Row],[Actual_Spend]] -Table1[[#This Row],[Budget_Monthly]]</f>
        <v>500</v>
      </c>
    </row>
    <row r="55" spans="1:11" ht="12.75" x14ac:dyDescent="0.35">
      <c r="A55" s="2">
        <v>45689</v>
      </c>
      <c r="B55" s="1" t="s">
        <v>35</v>
      </c>
      <c r="C55" s="1" t="s">
        <v>16</v>
      </c>
      <c r="D55" s="3">
        <v>120000</v>
      </c>
      <c r="E55" s="3">
        <v>10000</v>
      </c>
      <c r="F55" s="3">
        <v>12000</v>
      </c>
      <c r="G55" s="3">
        <v>-2000</v>
      </c>
      <c r="H55" s="5">
        <v>-20</v>
      </c>
      <c r="I55" s="9">
        <v>36</v>
      </c>
      <c r="J55" s="7">
        <v>333</v>
      </c>
      <c r="K55" s="3">
        <f>Table1[[#This Row],[Actual_Spend]] -Table1[[#This Row],[Budget_Monthly]]</f>
        <v>2000</v>
      </c>
    </row>
    <row r="56" spans="1:11" ht="12.75" x14ac:dyDescent="0.35">
      <c r="A56" s="2">
        <v>45689</v>
      </c>
      <c r="B56" s="1" t="s">
        <v>35</v>
      </c>
      <c r="C56" s="1" t="s">
        <v>18</v>
      </c>
      <c r="D56" s="3">
        <v>60000</v>
      </c>
      <c r="E56" s="3">
        <v>5000</v>
      </c>
      <c r="F56" s="3">
        <v>6000</v>
      </c>
      <c r="G56" s="3">
        <v>-1000</v>
      </c>
      <c r="H56" s="5">
        <v>-20</v>
      </c>
      <c r="I56" s="9">
        <v>36</v>
      </c>
      <c r="J56" s="7">
        <v>167</v>
      </c>
      <c r="K56" s="3">
        <f>Table1[[#This Row],[Actual_Spend]] -Table1[[#This Row],[Budget_Monthly]]</f>
        <v>1000</v>
      </c>
    </row>
    <row r="57" spans="1:11" ht="12.75" x14ac:dyDescent="0.35">
      <c r="A57" s="2">
        <v>45689</v>
      </c>
      <c r="B57" s="1" t="s">
        <v>40</v>
      </c>
      <c r="C57" s="1" t="s">
        <v>12</v>
      </c>
      <c r="D57" s="3">
        <v>2400000</v>
      </c>
      <c r="E57" s="3">
        <v>200000</v>
      </c>
      <c r="F57" s="3">
        <v>202000</v>
      </c>
      <c r="G57" s="3">
        <v>-2000</v>
      </c>
      <c r="H57" s="5">
        <v>-1</v>
      </c>
      <c r="I57" s="9">
        <v>31</v>
      </c>
      <c r="J57" s="7">
        <v>6516</v>
      </c>
      <c r="K57" s="3">
        <f>Table1[[#This Row],[Actual_Spend]] -Table1[[#This Row],[Budget_Monthly]]</f>
        <v>2000</v>
      </c>
    </row>
    <row r="58" spans="1:11" ht="12.75" x14ac:dyDescent="0.35">
      <c r="A58" s="2">
        <v>45689</v>
      </c>
      <c r="B58" s="1" t="s">
        <v>40</v>
      </c>
      <c r="C58" s="1" t="s">
        <v>14</v>
      </c>
      <c r="D58" s="3">
        <v>120000</v>
      </c>
      <c r="E58" s="3">
        <v>10000</v>
      </c>
      <c r="F58" s="3">
        <v>10500</v>
      </c>
      <c r="G58" s="3">
        <v>-500</v>
      </c>
      <c r="H58" s="5">
        <v>-5</v>
      </c>
      <c r="I58" s="9">
        <v>31</v>
      </c>
      <c r="J58" s="7">
        <v>339</v>
      </c>
      <c r="K58" s="3">
        <f>Table1[[#This Row],[Actual_Spend]] -Table1[[#This Row],[Budget_Monthly]]</f>
        <v>500</v>
      </c>
    </row>
    <row r="59" spans="1:11" ht="12.75" x14ac:dyDescent="0.35">
      <c r="A59" s="2">
        <v>45689</v>
      </c>
      <c r="B59" s="1" t="s">
        <v>40</v>
      </c>
      <c r="C59" s="1" t="s">
        <v>18</v>
      </c>
      <c r="D59" s="3">
        <v>96000</v>
      </c>
      <c r="E59" s="3">
        <v>8000</v>
      </c>
      <c r="F59" s="3">
        <v>11000</v>
      </c>
      <c r="G59" s="3">
        <v>-3000</v>
      </c>
      <c r="H59" s="5">
        <v>-37.5</v>
      </c>
      <c r="I59" s="9">
        <v>31</v>
      </c>
      <c r="J59" s="7">
        <v>355</v>
      </c>
      <c r="K59" s="3">
        <f>Table1[[#This Row],[Actual_Spend]] -Table1[[#This Row],[Budget_Monthly]]</f>
        <v>3000</v>
      </c>
    </row>
    <row r="60" spans="1:11" ht="12.75" x14ac:dyDescent="0.35">
      <c r="A60" s="2">
        <v>45689</v>
      </c>
      <c r="B60" s="1" t="s">
        <v>40</v>
      </c>
      <c r="C60" s="1" t="s">
        <v>20</v>
      </c>
      <c r="D60" s="3">
        <v>72000</v>
      </c>
      <c r="E60" s="3">
        <v>6000</v>
      </c>
      <c r="F60" s="3">
        <v>6200</v>
      </c>
      <c r="G60" s="3">
        <v>-200</v>
      </c>
      <c r="H60" s="5">
        <v>-3.3</v>
      </c>
      <c r="I60" s="9">
        <v>31</v>
      </c>
      <c r="J60" s="7">
        <v>200</v>
      </c>
      <c r="K60" s="3">
        <f>Table1[[#This Row],[Actual_Spend]] -Table1[[#This Row],[Budget_Monthly]]</f>
        <v>200</v>
      </c>
    </row>
    <row r="61" spans="1:11" ht="12.75" x14ac:dyDescent="0.35">
      <c r="A61" s="2">
        <v>45689</v>
      </c>
      <c r="B61" s="1" t="s">
        <v>45</v>
      </c>
      <c r="C61" s="1" t="s">
        <v>12</v>
      </c>
      <c r="D61" s="3">
        <v>1800000</v>
      </c>
      <c r="E61" s="3">
        <v>150000</v>
      </c>
      <c r="F61" s="3">
        <v>149000</v>
      </c>
      <c r="G61" s="3">
        <v>1000</v>
      </c>
      <c r="H61" s="5">
        <v>0.7</v>
      </c>
      <c r="I61" s="9">
        <v>12</v>
      </c>
      <c r="J61" s="7">
        <v>12417</v>
      </c>
      <c r="K61" s="3">
        <f>Table1[[#This Row],[Actual_Spend]] -Table1[[#This Row],[Budget_Monthly]]</f>
        <v>-1000</v>
      </c>
    </row>
    <row r="62" spans="1:11" ht="12.75" x14ac:dyDescent="0.35">
      <c r="A62" s="2">
        <v>45689</v>
      </c>
      <c r="B62" s="1" t="s">
        <v>45</v>
      </c>
      <c r="C62" s="1" t="s">
        <v>14</v>
      </c>
      <c r="D62" s="3">
        <v>120000</v>
      </c>
      <c r="E62" s="3">
        <v>10000</v>
      </c>
      <c r="F62" s="3">
        <v>9800</v>
      </c>
      <c r="G62" s="3">
        <v>200</v>
      </c>
      <c r="H62" s="5">
        <v>2</v>
      </c>
      <c r="I62" s="9">
        <v>12</v>
      </c>
      <c r="J62" s="7">
        <v>817</v>
      </c>
      <c r="K62" s="3">
        <f>Table1[[#This Row],[Actual_Spend]] -Table1[[#This Row],[Budget_Monthly]]</f>
        <v>-200</v>
      </c>
    </row>
    <row r="63" spans="1:11" ht="12.75" x14ac:dyDescent="0.35">
      <c r="A63" s="2">
        <v>45689</v>
      </c>
      <c r="B63" s="1" t="s">
        <v>45</v>
      </c>
      <c r="C63" s="1" t="s">
        <v>16</v>
      </c>
      <c r="D63" s="3">
        <v>240000</v>
      </c>
      <c r="E63" s="3">
        <v>20000</v>
      </c>
      <c r="F63" s="3">
        <v>18000</v>
      </c>
      <c r="G63" s="3">
        <v>2000</v>
      </c>
      <c r="H63" s="5">
        <v>10</v>
      </c>
      <c r="I63" s="9">
        <v>12</v>
      </c>
      <c r="J63" s="7">
        <v>1500</v>
      </c>
      <c r="K63" s="3">
        <f>Table1[[#This Row],[Actual_Spend]] -Table1[[#This Row],[Budget_Monthly]]</f>
        <v>-2000</v>
      </c>
    </row>
    <row r="64" spans="1:11" ht="12.75" x14ac:dyDescent="0.35">
      <c r="A64" s="2">
        <v>45689</v>
      </c>
      <c r="B64" s="1" t="s">
        <v>45</v>
      </c>
      <c r="C64" s="1" t="s">
        <v>20</v>
      </c>
      <c r="D64" s="3">
        <v>60000</v>
      </c>
      <c r="E64" s="3">
        <v>5000</v>
      </c>
      <c r="F64" s="3">
        <v>5200</v>
      </c>
      <c r="G64" s="3">
        <v>-200</v>
      </c>
      <c r="H64" s="5">
        <v>-4</v>
      </c>
      <c r="I64" s="9">
        <v>12</v>
      </c>
      <c r="J64" s="7">
        <v>433</v>
      </c>
      <c r="K64" s="3">
        <f>Table1[[#This Row],[Actual_Spend]] -Table1[[#This Row],[Budget_Monthly]]</f>
        <v>200</v>
      </c>
    </row>
    <row r="65" spans="1:11" ht="12.75" x14ac:dyDescent="0.35">
      <c r="A65" s="2">
        <v>45689</v>
      </c>
      <c r="B65" s="1" t="s">
        <v>50</v>
      </c>
      <c r="C65" s="1" t="s">
        <v>12</v>
      </c>
      <c r="D65" s="3">
        <v>1200000</v>
      </c>
      <c r="E65" s="3">
        <v>100000</v>
      </c>
      <c r="F65" s="3">
        <v>105000</v>
      </c>
      <c r="G65" s="3">
        <v>-5000</v>
      </c>
      <c r="H65" s="5">
        <v>-5</v>
      </c>
      <c r="I65" s="9">
        <v>9</v>
      </c>
      <c r="J65" s="7">
        <v>11667</v>
      </c>
      <c r="K65" s="3">
        <f>Table1[[#This Row],[Actual_Spend]] -Table1[[#This Row],[Budget_Monthly]]</f>
        <v>5000</v>
      </c>
    </row>
    <row r="66" spans="1:11" ht="12.75" x14ac:dyDescent="0.35">
      <c r="A66" s="2">
        <v>45689</v>
      </c>
      <c r="B66" s="1" t="s">
        <v>50</v>
      </c>
      <c r="C66" s="1" t="s">
        <v>14</v>
      </c>
      <c r="D66" s="3">
        <v>96000</v>
      </c>
      <c r="E66" s="3">
        <v>8000</v>
      </c>
      <c r="F66" s="3">
        <v>8200</v>
      </c>
      <c r="G66" s="3">
        <v>-200</v>
      </c>
      <c r="H66" s="5">
        <v>-2.5</v>
      </c>
      <c r="I66" s="9">
        <v>9</v>
      </c>
      <c r="J66" s="7">
        <v>911</v>
      </c>
      <c r="K66" s="3">
        <f>Table1[[#This Row],[Actual_Spend]] -Table1[[#This Row],[Budget_Monthly]]</f>
        <v>200</v>
      </c>
    </row>
    <row r="67" spans="1:11" ht="12.75" x14ac:dyDescent="0.35">
      <c r="A67" s="2">
        <v>45689</v>
      </c>
      <c r="B67" s="1" t="s">
        <v>50</v>
      </c>
      <c r="C67" s="1" t="s">
        <v>16</v>
      </c>
      <c r="D67" s="3">
        <v>144000</v>
      </c>
      <c r="E67" s="3">
        <v>12000</v>
      </c>
      <c r="F67" s="3">
        <v>10000</v>
      </c>
      <c r="G67" s="3">
        <v>2000</v>
      </c>
      <c r="H67" s="5">
        <v>16.7</v>
      </c>
      <c r="I67" s="9">
        <v>9</v>
      </c>
      <c r="J67" s="7">
        <v>1111</v>
      </c>
      <c r="K67" s="3">
        <f>Table1[[#This Row],[Actual_Spend]] -Table1[[#This Row],[Budget_Monthly]]</f>
        <v>-2000</v>
      </c>
    </row>
    <row r="68" spans="1:11" ht="12.75" x14ac:dyDescent="0.35">
      <c r="A68" s="2">
        <v>45689</v>
      </c>
      <c r="B68" s="1" t="s">
        <v>50</v>
      </c>
      <c r="C68" s="1" t="s">
        <v>20</v>
      </c>
      <c r="D68" s="3">
        <v>72000</v>
      </c>
      <c r="E68" s="3">
        <v>6000</v>
      </c>
      <c r="F68" s="3">
        <v>6500</v>
      </c>
      <c r="G68" s="3">
        <v>-500</v>
      </c>
      <c r="H68" s="5">
        <v>-8.3000000000000007</v>
      </c>
      <c r="I68" s="9">
        <v>9</v>
      </c>
      <c r="J68" s="7">
        <v>722</v>
      </c>
      <c r="K68" s="3">
        <f>Table1[[#This Row],[Actual_Spend]] -Table1[[#This Row],[Budget_Monthly]]</f>
        <v>500</v>
      </c>
    </row>
    <row r="69" spans="1:11" ht="12.75" x14ac:dyDescent="0.35">
      <c r="A69" s="2">
        <v>45689</v>
      </c>
      <c r="B69" s="1" t="s">
        <v>20</v>
      </c>
      <c r="C69" s="1" t="s">
        <v>12</v>
      </c>
      <c r="D69" s="3">
        <v>1800000</v>
      </c>
      <c r="E69" s="3">
        <v>150000</v>
      </c>
      <c r="F69" s="3">
        <v>148000</v>
      </c>
      <c r="G69" s="3">
        <v>2000</v>
      </c>
      <c r="H69" s="5">
        <v>1.3</v>
      </c>
      <c r="I69" s="9">
        <v>20</v>
      </c>
      <c r="J69" s="7">
        <v>7400</v>
      </c>
      <c r="K69" s="3">
        <f>Table1[[#This Row],[Actual_Spend]] -Table1[[#This Row],[Budget_Monthly]]</f>
        <v>-2000</v>
      </c>
    </row>
    <row r="70" spans="1:11" ht="12.75" x14ac:dyDescent="0.35">
      <c r="A70" s="2">
        <v>45689</v>
      </c>
      <c r="B70" s="1" t="s">
        <v>20</v>
      </c>
      <c r="C70" s="1" t="s">
        <v>14</v>
      </c>
      <c r="D70" s="3">
        <v>360000</v>
      </c>
      <c r="E70" s="3">
        <v>30000</v>
      </c>
      <c r="F70" s="3">
        <v>31000</v>
      </c>
      <c r="G70" s="3">
        <v>-1000</v>
      </c>
      <c r="H70" s="5">
        <v>-3.3</v>
      </c>
      <c r="I70" s="9">
        <v>20</v>
      </c>
      <c r="J70" s="7">
        <v>1550</v>
      </c>
      <c r="K70" s="3">
        <f>Table1[[#This Row],[Actual_Spend]] -Table1[[#This Row],[Budget_Monthly]]</f>
        <v>1000</v>
      </c>
    </row>
    <row r="71" spans="1:11" ht="12.75" x14ac:dyDescent="0.35">
      <c r="A71" s="2">
        <v>45689</v>
      </c>
      <c r="B71" s="1" t="s">
        <v>20</v>
      </c>
      <c r="C71" s="1" t="s">
        <v>16</v>
      </c>
      <c r="D71" s="3">
        <v>120000</v>
      </c>
      <c r="E71" s="3">
        <v>10000</v>
      </c>
      <c r="F71" s="3">
        <v>9000</v>
      </c>
      <c r="G71" s="3">
        <v>1000</v>
      </c>
      <c r="H71" s="5">
        <v>10</v>
      </c>
      <c r="I71" s="9">
        <v>20</v>
      </c>
      <c r="J71" s="7">
        <v>450</v>
      </c>
      <c r="K71" s="3">
        <f>Table1[[#This Row],[Actual_Spend]] -Table1[[#This Row],[Budget_Monthly]]</f>
        <v>-1000</v>
      </c>
    </row>
    <row r="72" spans="1:11" ht="12.75" x14ac:dyDescent="0.35">
      <c r="A72" s="2">
        <v>45689</v>
      </c>
      <c r="B72" s="1" t="s">
        <v>20</v>
      </c>
      <c r="C72" s="1" t="s">
        <v>18</v>
      </c>
      <c r="D72" s="3">
        <v>48000</v>
      </c>
      <c r="E72" s="3">
        <v>4000</v>
      </c>
      <c r="F72" s="3">
        <v>3000</v>
      </c>
      <c r="G72" s="3">
        <v>1000</v>
      </c>
      <c r="H72" s="5">
        <v>25</v>
      </c>
      <c r="I72" s="9">
        <v>20</v>
      </c>
      <c r="J72" s="7">
        <v>150</v>
      </c>
      <c r="K72" s="3">
        <f>Table1[[#This Row],[Actual_Spend]] -Table1[[#This Row],[Budget_Monthly]]</f>
        <v>-1000</v>
      </c>
    </row>
    <row r="73" spans="1:11" ht="12.75" x14ac:dyDescent="0.35">
      <c r="A73" s="2">
        <v>45689</v>
      </c>
      <c r="B73" s="1" t="s">
        <v>20</v>
      </c>
      <c r="C73" s="1" t="s">
        <v>59</v>
      </c>
      <c r="D73" s="3">
        <v>480000</v>
      </c>
      <c r="E73" s="3">
        <v>40000</v>
      </c>
      <c r="F73" s="3">
        <v>40500</v>
      </c>
      <c r="G73" s="3">
        <v>-500</v>
      </c>
      <c r="H73" s="5">
        <v>-1.3</v>
      </c>
      <c r="I73" s="9">
        <v>20</v>
      </c>
      <c r="J73" s="7">
        <v>2025</v>
      </c>
      <c r="K73" s="3">
        <f>Table1[[#This Row],[Actual_Spend]] -Table1[[#This Row],[Budget_Monthly]]</f>
        <v>500</v>
      </c>
    </row>
    <row r="74" spans="1:11" ht="12.75" x14ac:dyDescent="0.35">
      <c r="A74" s="2">
        <v>45717</v>
      </c>
      <c r="B74" s="1" t="s">
        <v>11</v>
      </c>
      <c r="C74" s="1" t="s">
        <v>12</v>
      </c>
      <c r="D74" s="3">
        <v>18000000</v>
      </c>
      <c r="E74" s="3">
        <v>1500000</v>
      </c>
      <c r="F74" s="3">
        <v>1580000</v>
      </c>
      <c r="G74" s="3">
        <v>-80000</v>
      </c>
      <c r="H74" s="5">
        <v>-5.3</v>
      </c>
      <c r="I74" s="9">
        <v>132</v>
      </c>
      <c r="J74" s="7">
        <v>11970</v>
      </c>
      <c r="K74" s="3">
        <f>Table1[[#This Row],[Actual_Spend]] -Table1[[#This Row],[Budget_Monthly]]</f>
        <v>80000</v>
      </c>
    </row>
    <row r="75" spans="1:11" ht="12.75" x14ac:dyDescent="0.35">
      <c r="A75" s="2">
        <v>45717</v>
      </c>
      <c r="B75" s="1" t="s">
        <v>11</v>
      </c>
      <c r="C75" s="1" t="s">
        <v>14</v>
      </c>
      <c r="D75" s="3">
        <v>1200000</v>
      </c>
      <c r="E75" s="3">
        <v>100000</v>
      </c>
      <c r="F75" s="3">
        <v>108000</v>
      </c>
      <c r="G75" s="3">
        <v>-8000</v>
      </c>
      <c r="H75" s="5">
        <v>-8</v>
      </c>
      <c r="I75" s="9">
        <v>132</v>
      </c>
      <c r="J75" s="7">
        <v>818</v>
      </c>
      <c r="K75" s="3">
        <f>Table1[[#This Row],[Actual_Spend]] -Table1[[#This Row],[Budget_Monthly]]</f>
        <v>8000</v>
      </c>
    </row>
    <row r="76" spans="1:11" ht="12.75" x14ac:dyDescent="0.35">
      <c r="A76" s="2">
        <v>45717</v>
      </c>
      <c r="B76" s="1" t="s">
        <v>11</v>
      </c>
      <c r="C76" s="1" t="s">
        <v>16</v>
      </c>
      <c r="D76" s="3">
        <v>360000</v>
      </c>
      <c r="E76" s="3">
        <v>30000</v>
      </c>
      <c r="F76" s="3">
        <v>35000</v>
      </c>
      <c r="G76" s="3">
        <v>-5000</v>
      </c>
      <c r="H76" s="5">
        <v>-16.7</v>
      </c>
      <c r="I76" s="9">
        <v>132</v>
      </c>
      <c r="J76" s="7">
        <v>265</v>
      </c>
      <c r="K76" s="3">
        <f>Table1[[#This Row],[Actual_Spend]] -Table1[[#This Row],[Budget_Monthly]]</f>
        <v>5000</v>
      </c>
    </row>
    <row r="77" spans="1:11" ht="12.75" x14ac:dyDescent="0.35">
      <c r="A77" s="2">
        <v>45717</v>
      </c>
      <c r="B77" s="1" t="s">
        <v>11</v>
      </c>
      <c r="C77" s="1" t="s">
        <v>18</v>
      </c>
      <c r="D77" s="3">
        <v>120000</v>
      </c>
      <c r="E77" s="3">
        <v>10000</v>
      </c>
      <c r="F77" s="3">
        <v>12000</v>
      </c>
      <c r="G77" s="3">
        <v>-2000</v>
      </c>
      <c r="H77" s="5">
        <v>-20</v>
      </c>
      <c r="I77" s="9">
        <v>132</v>
      </c>
      <c r="J77" s="7">
        <v>91</v>
      </c>
      <c r="K77" s="3">
        <f>Table1[[#This Row],[Actual_Spend]] -Table1[[#This Row],[Budget_Monthly]]</f>
        <v>2000</v>
      </c>
    </row>
    <row r="78" spans="1:11" ht="12.75" x14ac:dyDescent="0.35">
      <c r="A78" s="2">
        <v>45717</v>
      </c>
      <c r="B78" s="1" t="s">
        <v>11</v>
      </c>
      <c r="C78" s="1" t="s">
        <v>20</v>
      </c>
      <c r="D78" s="3">
        <v>240000</v>
      </c>
      <c r="E78" s="3">
        <v>20000</v>
      </c>
      <c r="F78" s="3">
        <v>20500</v>
      </c>
      <c r="G78" s="3">
        <v>-500</v>
      </c>
      <c r="H78" s="5">
        <v>-2.5</v>
      </c>
      <c r="I78" s="9">
        <v>132</v>
      </c>
      <c r="J78" s="7">
        <v>155</v>
      </c>
      <c r="K78" s="3">
        <f>Table1[[#This Row],[Actual_Spend]] -Table1[[#This Row],[Budget_Monthly]]</f>
        <v>500</v>
      </c>
    </row>
    <row r="79" spans="1:11" ht="12.75" x14ac:dyDescent="0.35">
      <c r="A79" s="2">
        <v>45717</v>
      </c>
      <c r="B79" s="1" t="s">
        <v>22</v>
      </c>
      <c r="C79" s="1" t="s">
        <v>12</v>
      </c>
      <c r="D79" s="3">
        <v>7200000</v>
      </c>
      <c r="E79" s="3">
        <v>600000</v>
      </c>
      <c r="F79" s="3">
        <v>625000</v>
      </c>
      <c r="G79" s="3">
        <v>-25000</v>
      </c>
      <c r="H79" s="5">
        <v>-4.2</v>
      </c>
      <c r="I79" s="9">
        <v>50</v>
      </c>
      <c r="J79" s="7">
        <v>12500</v>
      </c>
      <c r="K79" s="3">
        <f>Table1[[#This Row],[Actual_Spend]] -Table1[[#This Row],[Budget_Monthly]]</f>
        <v>25000</v>
      </c>
    </row>
    <row r="80" spans="1:11" ht="12.75" x14ac:dyDescent="0.35">
      <c r="A80" s="2">
        <v>45717</v>
      </c>
      <c r="B80" s="1" t="s">
        <v>22</v>
      </c>
      <c r="C80" s="1" t="s">
        <v>14</v>
      </c>
      <c r="D80" s="3">
        <v>300000</v>
      </c>
      <c r="E80" s="3">
        <v>25000</v>
      </c>
      <c r="F80" s="3">
        <v>27000</v>
      </c>
      <c r="G80" s="3">
        <v>-2000</v>
      </c>
      <c r="H80" s="5">
        <v>-8</v>
      </c>
      <c r="I80" s="9">
        <v>50</v>
      </c>
      <c r="J80" s="7">
        <v>540</v>
      </c>
      <c r="K80" s="3">
        <f>Table1[[#This Row],[Actual_Spend]] -Table1[[#This Row],[Budget_Monthly]]</f>
        <v>2000</v>
      </c>
    </row>
    <row r="81" spans="1:11" ht="12.75" x14ac:dyDescent="0.35">
      <c r="A81" s="2">
        <v>45717</v>
      </c>
      <c r="B81" s="1" t="s">
        <v>22</v>
      </c>
      <c r="C81" s="1" t="s">
        <v>18</v>
      </c>
      <c r="D81" s="3">
        <v>480000</v>
      </c>
      <c r="E81" s="3">
        <v>40000</v>
      </c>
      <c r="F81" s="3">
        <v>55000</v>
      </c>
      <c r="G81" s="3">
        <v>-15000</v>
      </c>
      <c r="H81" s="5">
        <v>-37.5</v>
      </c>
      <c r="I81" s="9">
        <v>50</v>
      </c>
      <c r="J81" s="7">
        <v>1100</v>
      </c>
      <c r="K81" s="3">
        <f>Table1[[#This Row],[Actual_Spend]] -Table1[[#This Row],[Budget_Monthly]]</f>
        <v>15000</v>
      </c>
    </row>
    <row r="82" spans="1:11" ht="12.75" x14ac:dyDescent="0.35">
      <c r="A82" s="2">
        <v>45717</v>
      </c>
      <c r="B82" s="1" t="s">
        <v>22</v>
      </c>
      <c r="C82" s="1" t="s">
        <v>26</v>
      </c>
      <c r="D82" s="3">
        <v>360000</v>
      </c>
      <c r="E82" s="3">
        <v>30000</v>
      </c>
      <c r="F82" s="3">
        <v>35000</v>
      </c>
      <c r="G82" s="3">
        <v>-5000</v>
      </c>
      <c r="H82" s="5">
        <v>-16.7</v>
      </c>
      <c r="I82" s="9">
        <v>50</v>
      </c>
      <c r="J82" s="7">
        <v>700</v>
      </c>
      <c r="K82" s="3">
        <f>Table1[[#This Row],[Actual_Spend]] -Table1[[#This Row],[Budget_Monthly]]</f>
        <v>5000</v>
      </c>
    </row>
    <row r="83" spans="1:11" ht="12.75" x14ac:dyDescent="0.35">
      <c r="A83" s="2">
        <v>45717</v>
      </c>
      <c r="B83" s="1" t="s">
        <v>22</v>
      </c>
      <c r="C83" s="1" t="s">
        <v>20</v>
      </c>
      <c r="D83" s="3">
        <v>180000</v>
      </c>
      <c r="E83" s="3">
        <v>15000</v>
      </c>
      <c r="F83" s="3">
        <v>16000</v>
      </c>
      <c r="G83" s="3">
        <v>-1000</v>
      </c>
      <c r="H83" s="5">
        <v>-6.7</v>
      </c>
      <c r="I83" s="9">
        <v>50</v>
      </c>
      <c r="J83" s="7">
        <v>320</v>
      </c>
      <c r="K83" s="3">
        <f>Table1[[#This Row],[Actual_Spend]] -Table1[[#This Row],[Budget_Monthly]]</f>
        <v>1000</v>
      </c>
    </row>
    <row r="84" spans="1:11" ht="12.75" x14ac:dyDescent="0.35">
      <c r="A84" s="2">
        <v>45717</v>
      </c>
      <c r="B84" s="1" t="s">
        <v>26</v>
      </c>
      <c r="C84" s="1" t="s">
        <v>12</v>
      </c>
      <c r="D84" s="3">
        <v>3600000</v>
      </c>
      <c r="E84" s="3">
        <v>300000</v>
      </c>
      <c r="F84" s="3">
        <v>312000</v>
      </c>
      <c r="G84" s="3">
        <v>-12000</v>
      </c>
      <c r="H84" s="5">
        <v>-4</v>
      </c>
      <c r="I84" s="9">
        <v>27</v>
      </c>
      <c r="J84" s="7">
        <v>11556</v>
      </c>
      <c r="K84" s="3">
        <f>Table1[[#This Row],[Actual_Spend]] -Table1[[#This Row],[Budget_Monthly]]</f>
        <v>12000</v>
      </c>
    </row>
    <row r="85" spans="1:11" ht="12.75" x14ac:dyDescent="0.35">
      <c r="A85" s="2">
        <v>45717</v>
      </c>
      <c r="B85" s="1" t="s">
        <v>26</v>
      </c>
      <c r="C85" s="1" t="s">
        <v>14</v>
      </c>
      <c r="D85" s="3">
        <v>600000</v>
      </c>
      <c r="E85" s="3">
        <v>50000</v>
      </c>
      <c r="F85" s="3">
        <v>55000</v>
      </c>
      <c r="G85" s="3">
        <v>-5000</v>
      </c>
      <c r="H85" s="5">
        <v>-10</v>
      </c>
      <c r="I85" s="9">
        <v>27</v>
      </c>
      <c r="J85" s="7">
        <v>2037</v>
      </c>
      <c r="K85" s="3">
        <f>Table1[[#This Row],[Actual_Spend]] -Table1[[#This Row],[Budget_Monthly]]</f>
        <v>5000</v>
      </c>
    </row>
    <row r="86" spans="1:11" ht="12.75" x14ac:dyDescent="0.35">
      <c r="A86" s="2">
        <v>45717</v>
      </c>
      <c r="B86" s="1" t="s">
        <v>26</v>
      </c>
      <c r="C86" s="1" t="s">
        <v>31</v>
      </c>
      <c r="D86" s="3">
        <v>2400000</v>
      </c>
      <c r="E86" s="3">
        <v>200000</v>
      </c>
      <c r="F86" s="3">
        <v>225000</v>
      </c>
      <c r="G86" s="3">
        <v>-25000</v>
      </c>
      <c r="H86" s="5">
        <v>-12.5</v>
      </c>
      <c r="I86" s="9">
        <v>27</v>
      </c>
      <c r="J86" s="7">
        <v>8333</v>
      </c>
      <c r="K86" s="3">
        <f>Table1[[#This Row],[Actual_Spend]] -Table1[[#This Row],[Budget_Monthly]]</f>
        <v>25000</v>
      </c>
    </row>
    <row r="87" spans="1:11" ht="12.75" x14ac:dyDescent="0.35">
      <c r="A87" s="2">
        <v>45717</v>
      </c>
      <c r="B87" s="1" t="s">
        <v>26</v>
      </c>
      <c r="C87" s="1" t="s">
        <v>16</v>
      </c>
      <c r="D87" s="3">
        <v>240000</v>
      </c>
      <c r="E87" s="3">
        <v>20000</v>
      </c>
      <c r="F87" s="3">
        <v>22000</v>
      </c>
      <c r="G87" s="3">
        <v>-2000</v>
      </c>
      <c r="H87" s="5">
        <v>-10</v>
      </c>
      <c r="I87" s="9">
        <v>27</v>
      </c>
      <c r="J87" s="7">
        <v>815</v>
      </c>
      <c r="K87" s="3">
        <f>Table1[[#This Row],[Actual_Spend]] -Table1[[#This Row],[Budget_Monthly]]</f>
        <v>2000</v>
      </c>
    </row>
    <row r="88" spans="1:11" ht="12.75" x14ac:dyDescent="0.35">
      <c r="A88" s="2">
        <v>45717</v>
      </c>
      <c r="B88" s="1" t="s">
        <v>26</v>
      </c>
      <c r="C88" s="1" t="s">
        <v>18</v>
      </c>
      <c r="D88" s="3">
        <v>120000</v>
      </c>
      <c r="E88" s="3">
        <v>10000</v>
      </c>
      <c r="F88" s="3">
        <v>15000</v>
      </c>
      <c r="G88" s="3">
        <v>-5000</v>
      </c>
      <c r="H88" s="5">
        <v>-50</v>
      </c>
      <c r="I88" s="9">
        <v>27</v>
      </c>
      <c r="J88" s="7">
        <v>556</v>
      </c>
      <c r="K88" s="3">
        <f>Table1[[#This Row],[Actual_Spend]] -Table1[[#This Row],[Budget_Monthly]]</f>
        <v>5000</v>
      </c>
    </row>
    <row r="89" spans="1:11" ht="12.75" x14ac:dyDescent="0.35">
      <c r="A89" s="2">
        <v>45717</v>
      </c>
      <c r="B89" s="1" t="s">
        <v>35</v>
      </c>
      <c r="C89" s="1" t="s">
        <v>12</v>
      </c>
      <c r="D89" s="3">
        <v>4800000</v>
      </c>
      <c r="E89" s="3">
        <v>400000</v>
      </c>
      <c r="F89" s="3">
        <v>425000</v>
      </c>
      <c r="G89" s="3">
        <v>-25000</v>
      </c>
      <c r="H89" s="5">
        <v>-6.3</v>
      </c>
      <c r="I89" s="9">
        <v>38</v>
      </c>
      <c r="J89" s="7">
        <v>11184</v>
      </c>
      <c r="K89" s="3">
        <f>Table1[[#This Row],[Actual_Spend]] -Table1[[#This Row],[Budget_Monthly]]</f>
        <v>25000</v>
      </c>
    </row>
    <row r="90" spans="1:11" ht="12.75" x14ac:dyDescent="0.35">
      <c r="A90" s="2">
        <v>45717</v>
      </c>
      <c r="B90" s="1" t="s">
        <v>35</v>
      </c>
      <c r="C90" s="1" t="s">
        <v>14</v>
      </c>
      <c r="D90" s="3">
        <v>180000</v>
      </c>
      <c r="E90" s="3">
        <v>15000</v>
      </c>
      <c r="F90" s="3">
        <v>16000</v>
      </c>
      <c r="G90" s="3">
        <v>-1000</v>
      </c>
      <c r="H90" s="5">
        <v>-6.7</v>
      </c>
      <c r="I90" s="9">
        <v>38</v>
      </c>
      <c r="J90" s="7">
        <v>421</v>
      </c>
      <c r="K90" s="3">
        <f>Table1[[#This Row],[Actual_Spend]] -Table1[[#This Row],[Budget_Monthly]]</f>
        <v>1000</v>
      </c>
    </row>
    <row r="91" spans="1:11" ht="12.75" x14ac:dyDescent="0.35">
      <c r="A91" s="2">
        <v>45717</v>
      </c>
      <c r="B91" s="1" t="s">
        <v>35</v>
      </c>
      <c r="C91" s="1" t="s">
        <v>16</v>
      </c>
      <c r="D91" s="3">
        <v>120000</v>
      </c>
      <c r="E91" s="3">
        <v>10000</v>
      </c>
      <c r="F91" s="3">
        <v>15000</v>
      </c>
      <c r="G91" s="3">
        <v>-5000</v>
      </c>
      <c r="H91" s="5">
        <v>-50</v>
      </c>
      <c r="I91" s="9">
        <v>38</v>
      </c>
      <c r="J91" s="7">
        <v>395</v>
      </c>
      <c r="K91" s="3">
        <f>Table1[[#This Row],[Actual_Spend]] -Table1[[#This Row],[Budget_Monthly]]</f>
        <v>5000</v>
      </c>
    </row>
    <row r="92" spans="1:11" ht="12.75" x14ac:dyDescent="0.35">
      <c r="A92" s="2">
        <v>45717</v>
      </c>
      <c r="B92" s="1" t="s">
        <v>35</v>
      </c>
      <c r="C92" s="1" t="s">
        <v>18</v>
      </c>
      <c r="D92" s="3">
        <v>60000</v>
      </c>
      <c r="E92" s="3">
        <v>5000</v>
      </c>
      <c r="F92" s="3">
        <v>8000</v>
      </c>
      <c r="G92" s="3">
        <v>-3000</v>
      </c>
      <c r="H92" s="5">
        <v>-60</v>
      </c>
      <c r="I92" s="9">
        <v>38</v>
      </c>
      <c r="J92" s="7">
        <v>211</v>
      </c>
      <c r="K92" s="3">
        <f>Table1[[#This Row],[Actual_Spend]] -Table1[[#This Row],[Budget_Monthly]]</f>
        <v>3000</v>
      </c>
    </row>
    <row r="93" spans="1:11" ht="12.75" x14ac:dyDescent="0.35">
      <c r="A93" s="2">
        <v>45717</v>
      </c>
      <c r="B93" s="1" t="s">
        <v>40</v>
      </c>
      <c r="C93" s="1" t="s">
        <v>12</v>
      </c>
      <c r="D93" s="3">
        <v>2400000</v>
      </c>
      <c r="E93" s="3">
        <v>200000</v>
      </c>
      <c r="F93" s="3">
        <v>205000</v>
      </c>
      <c r="G93" s="3">
        <v>-5000</v>
      </c>
      <c r="H93" s="5">
        <v>-2.5</v>
      </c>
      <c r="I93" s="9">
        <v>32</v>
      </c>
      <c r="J93" s="7">
        <v>6406</v>
      </c>
      <c r="K93" s="3">
        <f>Table1[[#This Row],[Actual_Spend]] -Table1[[#This Row],[Budget_Monthly]]</f>
        <v>5000</v>
      </c>
    </row>
    <row r="94" spans="1:11" ht="12.75" x14ac:dyDescent="0.35">
      <c r="A94" s="2">
        <v>45717</v>
      </c>
      <c r="B94" s="1" t="s">
        <v>40</v>
      </c>
      <c r="C94" s="1" t="s">
        <v>14</v>
      </c>
      <c r="D94" s="3">
        <v>120000</v>
      </c>
      <c r="E94" s="3">
        <v>10000</v>
      </c>
      <c r="F94" s="3">
        <v>11000</v>
      </c>
      <c r="G94" s="3">
        <v>-1000</v>
      </c>
      <c r="H94" s="5">
        <v>-10</v>
      </c>
      <c r="I94" s="9">
        <v>32</v>
      </c>
      <c r="J94" s="7">
        <v>344</v>
      </c>
      <c r="K94" s="3">
        <f>Table1[[#This Row],[Actual_Spend]] -Table1[[#This Row],[Budget_Monthly]]</f>
        <v>1000</v>
      </c>
    </row>
    <row r="95" spans="1:11" ht="12.75" x14ac:dyDescent="0.35">
      <c r="A95" s="2">
        <v>45717</v>
      </c>
      <c r="B95" s="1" t="s">
        <v>40</v>
      </c>
      <c r="C95" s="1" t="s">
        <v>18</v>
      </c>
      <c r="D95" s="3">
        <v>96000</v>
      </c>
      <c r="E95" s="3">
        <v>8000</v>
      </c>
      <c r="F95" s="3">
        <v>14000</v>
      </c>
      <c r="G95" s="3">
        <v>-6000</v>
      </c>
      <c r="H95" s="5">
        <v>-75</v>
      </c>
      <c r="I95" s="9">
        <v>32</v>
      </c>
      <c r="J95" s="7">
        <v>438</v>
      </c>
      <c r="K95" s="3">
        <f>Table1[[#This Row],[Actual_Spend]] -Table1[[#This Row],[Budget_Monthly]]</f>
        <v>6000</v>
      </c>
    </row>
    <row r="96" spans="1:11" ht="12.75" x14ac:dyDescent="0.35">
      <c r="A96" s="2">
        <v>45717</v>
      </c>
      <c r="B96" s="1" t="s">
        <v>40</v>
      </c>
      <c r="C96" s="1" t="s">
        <v>20</v>
      </c>
      <c r="D96" s="3">
        <v>72000</v>
      </c>
      <c r="E96" s="3">
        <v>6000</v>
      </c>
      <c r="F96" s="3">
        <v>6500</v>
      </c>
      <c r="G96" s="3">
        <v>-500</v>
      </c>
      <c r="H96" s="5">
        <v>-8.3000000000000007</v>
      </c>
      <c r="I96" s="9">
        <v>32</v>
      </c>
      <c r="J96" s="7">
        <v>203</v>
      </c>
      <c r="K96" s="3">
        <f>Table1[[#This Row],[Actual_Spend]] -Table1[[#This Row],[Budget_Monthly]]</f>
        <v>500</v>
      </c>
    </row>
    <row r="97" spans="1:11" ht="12.75" x14ac:dyDescent="0.35">
      <c r="A97" s="2">
        <v>45717</v>
      </c>
      <c r="B97" s="1" t="s">
        <v>45</v>
      </c>
      <c r="C97" s="1" t="s">
        <v>12</v>
      </c>
      <c r="D97" s="3">
        <v>1800000</v>
      </c>
      <c r="E97" s="3">
        <v>150000</v>
      </c>
      <c r="F97" s="3">
        <v>151000</v>
      </c>
      <c r="G97" s="3">
        <v>-1000</v>
      </c>
      <c r="H97" s="5">
        <v>-0.7</v>
      </c>
      <c r="I97" s="9">
        <v>13</v>
      </c>
      <c r="J97" s="7">
        <v>11615</v>
      </c>
      <c r="K97" s="3">
        <f>Table1[[#This Row],[Actual_Spend]] -Table1[[#This Row],[Budget_Monthly]]</f>
        <v>1000</v>
      </c>
    </row>
    <row r="98" spans="1:11" ht="12.75" x14ac:dyDescent="0.35">
      <c r="A98" s="2">
        <v>45717</v>
      </c>
      <c r="B98" s="1" t="s">
        <v>45</v>
      </c>
      <c r="C98" s="1" t="s">
        <v>14</v>
      </c>
      <c r="D98" s="3">
        <v>120000</v>
      </c>
      <c r="E98" s="3">
        <v>10000</v>
      </c>
      <c r="F98" s="3">
        <v>10200</v>
      </c>
      <c r="G98" s="3">
        <v>-200</v>
      </c>
      <c r="H98" s="5">
        <v>-2</v>
      </c>
      <c r="I98" s="9">
        <v>13</v>
      </c>
      <c r="J98" s="7">
        <v>785</v>
      </c>
      <c r="K98" s="3">
        <f>Table1[[#This Row],[Actual_Spend]] -Table1[[#This Row],[Budget_Monthly]]</f>
        <v>200</v>
      </c>
    </row>
    <row r="99" spans="1:11" ht="12.75" x14ac:dyDescent="0.35">
      <c r="A99" s="2">
        <v>45717</v>
      </c>
      <c r="B99" s="1" t="s">
        <v>45</v>
      </c>
      <c r="C99" s="1" t="s">
        <v>16</v>
      </c>
      <c r="D99" s="3">
        <v>240000</v>
      </c>
      <c r="E99" s="3">
        <v>20000</v>
      </c>
      <c r="F99" s="3">
        <v>25000</v>
      </c>
      <c r="G99" s="3">
        <v>-5000</v>
      </c>
      <c r="H99" s="5">
        <v>-25</v>
      </c>
      <c r="I99" s="9">
        <v>13</v>
      </c>
      <c r="J99" s="7">
        <v>1923</v>
      </c>
      <c r="K99" s="3">
        <f>Table1[[#This Row],[Actual_Spend]] -Table1[[#This Row],[Budget_Monthly]]</f>
        <v>5000</v>
      </c>
    </row>
    <row r="100" spans="1:11" ht="12.75" x14ac:dyDescent="0.35">
      <c r="A100" s="2">
        <v>45717</v>
      </c>
      <c r="B100" s="1" t="s">
        <v>45</v>
      </c>
      <c r="C100" s="1" t="s">
        <v>20</v>
      </c>
      <c r="D100" s="3">
        <v>60000</v>
      </c>
      <c r="E100" s="3">
        <v>5000</v>
      </c>
      <c r="F100" s="3">
        <v>5100</v>
      </c>
      <c r="G100" s="3">
        <v>-100</v>
      </c>
      <c r="H100" s="5">
        <v>-2</v>
      </c>
      <c r="I100" s="9">
        <v>13</v>
      </c>
      <c r="J100" s="7">
        <v>392</v>
      </c>
      <c r="K100" s="3">
        <f>Table1[[#This Row],[Actual_Spend]] -Table1[[#This Row],[Budget_Monthly]]</f>
        <v>100</v>
      </c>
    </row>
    <row r="101" spans="1:11" ht="12.75" x14ac:dyDescent="0.35">
      <c r="A101" s="2">
        <v>45717</v>
      </c>
      <c r="B101" s="1" t="s">
        <v>50</v>
      </c>
      <c r="C101" s="1" t="s">
        <v>12</v>
      </c>
      <c r="D101" s="3">
        <v>1200000</v>
      </c>
      <c r="E101" s="3">
        <v>100000</v>
      </c>
      <c r="F101" s="3">
        <v>108000</v>
      </c>
      <c r="G101" s="3">
        <v>-8000</v>
      </c>
      <c r="H101" s="5">
        <v>-8</v>
      </c>
      <c r="I101" s="9">
        <v>10</v>
      </c>
      <c r="J101" s="7">
        <v>10800</v>
      </c>
      <c r="K101" s="3">
        <f>Table1[[#This Row],[Actual_Spend]] -Table1[[#This Row],[Budget_Monthly]]</f>
        <v>8000</v>
      </c>
    </row>
    <row r="102" spans="1:11" ht="12.75" x14ac:dyDescent="0.35">
      <c r="A102" s="2">
        <v>45717</v>
      </c>
      <c r="B102" s="1" t="s">
        <v>50</v>
      </c>
      <c r="C102" s="1" t="s">
        <v>14</v>
      </c>
      <c r="D102" s="3">
        <v>96000</v>
      </c>
      <c r="E102" s="3">
        <v>8000</v>
      </c>
      <c r="F102" s="3">
        <v>8500</v>
      </c>
      <c r="G102" s="3">
        <v>-500</v>
      </c>
      <c r="H102" s="5">
        <v>-6.3</v>
      </c>
      <c r="I102" s="9">
        <v>10</v>
      </c>
      <c r="J102" s="7">
        <v>850</v>
      </c>
      <c r="K102" s="3">
        <f>Table1[[#This Row],[Actual_Spend]] -Table1[[#This Row],[Budget_Monthly]]</f>
        <v>500</v>
      </c>
    </row>
    <row r="103" spans="1:11" ht="12.75" x14ac:dyDescent="0.35">
      <c r="A103" s="2">
        <v>45717</v>
      </c>
      <c r="B103" s="1" t="s">
        <v>50</v>
      </c>
      <c r="C103" s="1" t="s">
        <v>16</v>
      </c>
      <c r="D103" s="3">
        <v>144000</v>
      </c>
      <c r="E103" s="3">
        <v>12000</v>
      </c>
      <c r="F103" s="3">
        <v>15000</v>
      </c>
      <c r="G103" s="3">
        <v>-3000</v>
      </c>
      <c r="H103" s="5">
        <v>-25</v>
      </c>
      <c r="I103" s="9">
        <v>10</v>
      </c>
      <c r="J103" s="7">
        <v>1500</v>
      </c>
      <c r="K103" s="3">
        <f>Table1[[#This Row],[Actual_Spend]] -Table1[[#This Row],[Budget_Monthly]]</f>
        <v>3000</v>
      </c>
    </row>
    <row r="104" spans="1:11" ht="12.75" x14ac:dyDescent="0.35">
      <c r="A104" s="2">
        <v>45717</v>
      </c>
      <c r="B104" s="1" t="s">
        <v>50</v>
      </c>
      <c r="C104" s="1" t="s">
        <v>20</v>
      </c>
      <c r="D104" s="3">
        <v>72000</v>
      </c>
      <c r="E104" s="3">
        <v>6000</v>
      </c>
      <c r="F104" s="3">
        <v>7000</v>
      </c>
      <c r="G104" s="3">
        <v>-1000</v>
      </c>
      <c r="H104" s="5">
        <v>-16.7</v>
      </c>
      <c r="I104" s="9">
        <v>10</v>
      </c>
      <c r="J104" s="7">
        <v>700</v>
      </c>
      <c r="K104" s="3">
        <f>Table1[[#This Row],[Actual_Spend]] -Table1[[#This Row],[Budget_Monthly]]</f>
        <v>1000</v>
      </c>
    </row>
    <row r="105" spans="1:11" ht="12.75" x14ac:dyDescent="0.35">
      <c r="A105" s="2">
        <v>45717</v>
      </c>
      <c r="B105" s="1" t="s">
        <v>20</v>
      </c>
      <c r="C105" s="1" t="s">
        <v>12</v>
      </c>
      <c r="D105" s="3">
        <v>1800000</v>
      </c>
      <c r="E105" s="3">
        <v>150000</v>
      </c>
      <c r="F105" s="3">
        <v>152000</v>
      </c>
      <c r="G105" s="3">
        <v>-2000</v>
      </c>
      <c r="H105" s="5">
        <v>-1.3</v>
      </c>
      <c r="I105" s="9">
        <v>21</v>
      </c>
      <c r="J105" s="7">
        <v>7238</v>
      </c>
      <c r="K105" s="3">
        <f>Table1[[#This Row],[Actual_Spend]] -Table1[[#This Row],[Budget_Monthly]]</f>
        <v>2000</v>
      </c>
    </row>
    <row r="106" spans="1:11" ht="12.75" x14ac:dyDescent="0.35">
      <c r="A106" s="2">
        <v>45717</v>
      </c>
      <c r="B106" s="1" t="s">
        <v>20</v>
      </c>
      <c r="C106" s="1" t="s">
        <v>14</v>
      </c>
      <c r="D106" s="3">
        <v>360000</v>
      </c>
      <c r="E106" s="3">
        <v>30000</v>
      </c>
      <c r="F106" s="3">
        <v>33000</v>
      </c>
      <c r="G106" s="3">
        <v>-3000</v>
      </c>
      <c r="H106" s="5">
        <v>-10</v>
      </c>
      <c r="I106" s="9">
        <v>21</v>
      </c>
      <c r="J106" s="7">
        <v>1571</v>
      </c>
      <c r="K106" s="3">
        <f>Table1[[#This Row],[Actual_Spend]] -Table1[[#This Row],[Budget_Monthly]]</f>
        <v>3000</v>
      </c>
    </row>
    <row r="107" spans="1:11" ht="12.75" x14ac:dyDescent="0.35">
      <c r="A107" s="2">
        <v>45717</v>
      </c>
      <c r="B107" s="1" t="s">
        <v>20</v>
      </c>
      <c r="C107" s="1" t="s">
        <v>16</v>
      </c>
      <c r="D107" s="3">
        <v>120000</v>
      </c>
      <c r="E107" s="3">
        <v>10000</v>
      </c>
      <c r="F107" s="3">
        <v>12000</v>
      </c>
      <c r="G107" s="3">
        <v>-2000</v>
      </c>
      <c r="H107" s="5">
        <v>-20</v>
      </c>
      <c r="I107" s="9">
        <v>21</v>
      </c>
      <c r="J107" s="7">
        <v>571</v>
      </c>
      <c r="K107" s="3">
        <f>Table1[[#This Row],[Actual_Spend]] -Table1[[#This Row],[Budget_Monthly]]</f>
        <v>2000</v>
      </c>
    </row>
    <row r="108" spans="1:11" ht="12.75" x14ac:dyDescent="0.35">
      <c r="A108" s="2">
        <v>45717</v>
      </c>
      <c r="B108" s="1" t="s">
        <v>20</v>
      </c>
      <c r="C108" s="1" t="s">
        <v>18</v>
      </c>
      <c r="D108" s="3">
        <v>48000</v>
      </c>
      <c r="E108" s="3">
        <v>4000</v>
      </c>
      <c r="F108" s="3">
        <v>4500</v>
      </c>
      <c r="G108" s="3">
        <v>-500</v>
      </c>
      <c r="H108" s="5">
        <v>-12.5</v>
      </c>
      <c r="I108" s="9">
        <v>21</v>
      </c>
      <c r="J108" s="7">
        <v>214</v>
      </c>
      <c r="K108" s="3">
        <f>Table1[[#This Row],[Actual_Spend]] -Table1[[#This Row],[Budget_Monthly]]</f>
        <v>500</v>
      </c>
    </row>
    <row r="109" spans="1:11" ht="12.75" x14ac:dyDescent="0.35">
      <c r="A109" s="2">
        <v>45717</v>
      </c>
      <c r="B109" s="1" t="s">
        <v>20</v>
      </c>
      <c r="C109" s="1" t="s">
        <v>59</v>
      </c>
      <c r="D109" s="3">
        <v>480000</v>
      </c>
      <c r="E109" s="3">
        <v>40000</v>
      </c>
      <c r="F109" s="3">
        <v>41000</v>
      </c>
      <c r="G109" s="3">
        <v>-1000</v>
      </c>
      <c r="H109" s="5">
        <v>-2.5</v>
      </c>
      <c r="I109" s="9">
        <v>21</v>
      </c>
      <c r="J109" s="7">
        <v>1952</v>
      </c>
      <c r="K109" s="3">
        <f>Table1[[#This Row],[Actual_Spend]] -Table1[[#This Row],[Budget_Monthly]]</f>
        <v>1000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76DE9-845B-4BB7-8281-E76ADCC02C19}">
  <dimension ref="A2:M34"/>
  <sheetViews>
    <sheetView zoomScale="90" zoomScaleNormal="90" workbookViewId="0">
      <selection activeCell="M24" sqref="M24"/>
    </sheetView>
  </sheetViews>
  <sheetFormatPr defaultRowHeight="12.75" x14ac:dyDescent="0.35"/>
  <cols>
    <col min="1" max="1" width="16.1328125" bestFit="1" customWidth="1"/>
    <col min="2" max="2" width="19.86328125" bestFit="1" customWidth="1"/>
    <col min="3" max="3" width="17.3984375" bestFit="1" customWidth="1"/>
    <col min="4" max="4" width="11.3984375" bestFit="1" customWidth="1"/>
    <col min="5" max="6" width="9.1328125" bestFit="1" customWidth="1"/>
    <col min="7" max="7" width="10.6640625" bestFit="1" customWidth="1"/>
    <col min="8" max="8" width="10.3984375" bestFit="1" customWidth="1"/>
    <col min="9" max="10" width="10.6640625" bestFit="1" customWidth="1"/>
    <col min="11" max="11" width="11.6640625" bestFit="1" customWidth="1"/>
    <col min="13" max="13" width="16.1328125" bestFit="1" customWidth="1"/>
  </cols>
  <sheetData>
    <row r="2" spans="1:8" ht="15" x14ac:dyDescent="0.4">
      <c r="A2" s="19" t="s">
        <v>135</v>
      </c>
      <c r="F2" s="19" t="s">
        <v>139</v>
      </c>
    </row>
    <row r="3" spans="1:8" x14ac:dyDescent="0.35">
      <c r="A3" s="11" t="s">
        <v>136</v>
      </c>
      <c r="B3" t="s">
        <v>132</v>
      </c>
      <c r="C3" t="s">
        <v>131</v>
      </c>
      <c r="D3" t="s">
        <v>133</v>
      </c>
      <c r="F3" s="11" t="s">
        <v>1</v>
      </c>
      <c r="G3" t="s">
        <v>137</v>
      </c>
      <c r="H3" t="s">
        <v>138</v>
      </c>
    </row>
    <row r="4" spans="1:8" x14ac:dyDescent="0.35">
      <c r="A4" s="12" t="s">
        <v>11</v>
      </c>
      <c r="B4" s="4">
        <v>5131000</v>
      </c>
      <c r="C4" s="4">
        <v>4980000</v>
      </c>
      <c r="D4" s="4">
        <v>151000</v>
      </c>
      <c r="F4" s="12" t="s">
        <v>20</v>
      </c>
      <c r="G4" s="16">
        <v>1500</v>
      </c>
      <c r="H4" s="17">
        <v>1.3</v>
      </c>
    </row>
    <row r="5" spans="1:8" x14ac:dyDescent="0.35">
      <c r="A5" s="12" t="s">
        <v>22</v>
      </c>
      <c r="B5" s="4">
        <v>2206700</v>
      </c>
      <c r="C5" s="4">
        <v>2130000</v>
      </c>
      <c r="D5" s="4">
        <v>76700</v>
      </c>
      <c r="F5" s="12" t="s">
        <v>45</v>
      </c>
      <c r="G5" s="16">
        <v>-2600</v>
      </c>
      <c r="H5" s="17">
        <v>-1.7249999999999999</v>
      </c>
    </row>
    <row r="6" spans="1:8" x14ac:dyDescent="0.35">
      <c r="A6" s="12" t="s">
        <v>26</v>
      </c>
      <c r="B6" s="4">
        <v>1810000</v>
      </c>
      <c r="C6" s="4">
        <v>1740000</v>
      </c>
      <c r="D6" s="4">
        <v>70000</v>
      </c>
      <c r="F6" s="12" t="s">
        <v>40</v>
      </c>
      <c r="G6" s="16">
        <v>-18500</v>
      </c>
      <c r="H6" s="17">
        <v>-13.925000000000002</v>
      </c>
    </row>
    <row r="7" spans="1:8" x14ac:dyDescent="0.35">
      <c r="A7" s="12" t="s">
        <v>35</v>
      </c>
      <c r="B7" s="4">
        <v>1351200</v>
      </c>
      <c r="C7" s="4">
        <v>1290000</v>
      </c>
      <c r="D7" s="4">
        <v>61200</v>
      </c>
      <c r="F7" s="12" t="s">
        <v>50</v>
      </c>
      <c r="G7" s="16">
        <v>-21200</v>
      </c>
      <c r="H7" s="17">
        <v>-6.6749999999999998</v>
      </c>
    </row>
    <row r="8" spans="1:8" x14ac:dyDescent="0.35">
      <c r="A8" s="12" t="s">
        <v>50</v>
      </c>
      <c r="B8" s="4">
        <v>399200</v>
      </c>
      <c r="C8" s="4">
        <v>378000</v>
      </c>
      <c r="D8" s="4">
        <v>21200</v>
      </c>
      <c r="F8" s="12" t="s">
        <v>35</v>
      </c>
      <c r="G8" s="16">
        <v>-61200</v>
      </c>
      <c r="H8" s="17">
        <v>-12.358333333333334</v>
      </c>
    </row>
    <row r="9" spans="1:8" x14ac:dyDescent="0.35">
      <c r="A9" s="12" t="s">
        <v>40</v>
      </c>
      <c r="B9" s="4">
        <v>690500</v>
      </c>
      <c r="C9" s="4">
        <v>672000</v>
      </c>
      <c r="D9" s="4">
        <v>18500</v>
      </c>
      <c r="F9" s="12" t="s">
        <v>26</v>
      </c>
      <c r="G9" s="16">
        <v>-70000</v>
      </c>
      <c r="H9" s="17">
        <v>-7.2266666666666675</v>
      </c>
    </row>
    <row r="10" spans="1:8" x14ac:dyDescent="0.35">
      <c r="A10" s="12" t="s">
        <v>45</v>
      </c>
      <c r="B10" s="4">
        <v>557600</v>
      </c>
      <c r="C10" s="4">
        <v>555000</v>
      </c>
      <c r="D10" s="4">
        <v>2600</v>
      </c>
      <c r="F10" s="12" t="s">
        <v>22</v>
      </c>
      <c r="G10" s="16">
        <v>-76700</v>
      </c>
      <c r="H10" s="17">
        <v>-9.1999999999999993</v>
      </c>
    </row>
    <row r="11" spans="1:8" x14ac:dyDescent="0.35">
      <c r="A11" s="12" t="s">
        <v>20</v>
      </c>
      <c r="B11" s="4">
        <v>700500</v>
      </c>
      <c r="C11" s="4">
        <v>702000</v>
      </c>
      <c r="D11" s="4">
        <v>-1500</v>
      </c>
      <c r="F11" s="12" t="s">
        <v>11</v>
      </c>
      <c r="G11" s="16">
        <v>-151000</v>
      </c>
      <c r="H11" s="17">
        <v>-2.2599999999999998</v>
      </c>
    </row>
    <row r="12" spans="1:8" x14ac:dyDescent="0.35">
      <c r="A12" s="12" t="s">
        <v>130</v>
      </c>
      <c r="B12" s="4">
        <v>12846700</v>
      </c>
      <c r="C12" s="4">
        <v>12447000</v>
      </c>
      <c r="D12" s="4">
        <v>399700</v>
      </c>
      <c r="F12" s="12" t="s">
        <v>130</v>
      </c>
      <c r="G12" s="16">
        <v>-399700</v>
      </c>
      <c r="H12" s="17">
        <v>-6.2685185185185208</v>
      </c>
    </row>
    <row r="14" spans="1:8" x14ac:dyDescent="0.35">
      <c r="C14" s="15"/>
    </row>
    <row r="15" spans="1:8" x14ac:dyDescent="0.35">
      <c r="C15" s="15"/>
    </row>
    <row r="23" spans="2:13" x14ac:dyDescent="0.35">
      <c r="K23" s="13" t="s">
        <v>152</v>
      </c>
    </row>
    <row r="24" spans="2:13" ht="13.5" x14ac:dyDescent="0.35">
      <c r="K24" t="s">
        <v>148</v>
      </c>
      <c r="M24" s="21">
        <f>C12</f>
        <v>12447000</v>
      </c>
    </row>
    <row r="25" spans="2:13" x14ac:dyDescent="0.35">
      <c r="K25" t="s">
        <v>149</v>
      </c>
      <c r="M25" s="4">
        <f>B12</f>
        <v>12846700</v>
      </c>
    </row>
    <row r="26" spans="2:13" x14ac:dyDescent="0.35">
      <c r="C26" s="13"/>
      <c r="K26" t="s">
        <v>150</v>
      </c>
      <c r="M26" s="20">
        <f>(B12-C12)/C12</f>
        <v>3.2112155539487423E-2</v>
      </c>
    </row>
    <row r="28" spans="2:13" ht="15" x14ac:dyDescent="0.4">
      <c r="B28" s="19" t="s">
        <v>144</v>
      </c>
    </row>
    <row r="29" spans="2:13" x14ac:dyDescent="0.35">
      <c r="B29" s="11" t="s">
        <v>132</v>
      </c>
      <c r="C29" s="11" t="s">
        <v>1</v>
      </c>
    </row>
    <row r="30" spans="2:13" x14ac:dyDescent="0.35">
      <c r="B30" s="11" t="s">
        <v>143</v>
      </c>
      <c r="C30" t="s">
        <v>40</v>
      </c>
      <c r="D30" t="s">
        <v>11</v>
      </c>
      <c r="E30" t="s">
        <v>45</v>
      </c>
      <c r="F30" t="s">
        <v>50</v>
      </c>
      <c r="G30" t="s">
        <v>26</v>
      </c>
      <c r="H30" t="s">
        <v>20</v>
      </c>
      <c r="I30" t="s">
        <v>35</v>
      </c>
      <c r="J30" t="s">
        <v>22</v>
      </c>
      <c r="K30" t="s">
        <v>130</v>
      </c>
    </row>
    <row r="31" spans="2:13" x14ac:dyDescent="0.35">
      <c r="B31" s="18" t="s">
        <v>140</v>
      </c>
      <c r="C31" s="4">
        <v>224300</v>
      </c>
      <c r="D31" s="4">
        <v>1687000</v>
      </c>
      <c r="E31" s="4">
        <v>184300</v>
      </c>
      <c r="F31" s="4">
        <v>131000</v>
      </c>
      <c r="G31" s="4">
        <v>585000</v>
      </c>
      <c r="H31" s="4">
        <v>226500</v>
      </c>
      <c r="I31" s="4">
        <v>438700</v>
      </c>
      <c r="J31" s="4">
        <v>721200</v>
      </c>
      <c r="K31" s="4">
        <v>4198000</v>
      </c>
    </row>
    <row r="32" spans="2:13" x14ac:dyDescent="0.35">
      <c r="B32" s="18" t="s">
        <v>141</v>
      </c>
      <c r="C32" s="4">
        <v>229700</v>
      </c>
      <c r="D32" s="4">
        <v>1688500</v>
      </c>
      <c r="E32" s="4">
        <v>182000</v>
      </c>
      <c r="F32" s="4">
        <v>129700</v>
      </c>
      <c r="G32" s="4">
        <v>596000</v>
      </c>
      <c r="H32" s="4">
        <v>231500</v>
      </c>
      <c r="I32" s="4">
        <v>448500</v>
      </c>
      <c r="J32" s="4">
        <v>727500</v>
      </c>
      <c r="K32" s="4">
        <v>4233400</v>
      </c>
    </row>
    <row r="33" spans="2:11" x14ac:dyDescent="0.35">
      <c r="B33" s="18" t="s">
        <v>142</v>
      </c>
      <c r="C33" s="4">
        <v>236500</v>
      </c>
      <c r="D33" s="4">
        <v>1755500</v>
      </c>
      <c r="E33" s="4">
        <v>191300</v>
      </c>
      <c r="F33" s="4">
        <v>138500</v>
      </c>
      <c r="G33" s="4">
        <v>629000</v>
      </c>
      <c r="H33" s="4">
        <v>242500</v>
      </c>
      <c r="I33" s="4">
        <v>464000</v>
      </c>
      <c r="J33" s="4">
        <v>758000</v>
      </c>
      <c r="K33" s="4">
        <v>4415300</v>
      </c>
    </row>
    <row r="34" spans="2:11" x14ac:dyDescent="0.35">
      <c r="B34" s="18" t="s">
        <v>130</v>
      </c>
      <c r="C34" s="4">
        <v>690500</v>
      </c>
      <c r="D34" s="4">
        <v>5131000</v>
      </c>
      <c r="E34" s="4">
        <v>557600</v>
      </c>
      <c r="F34" s="4">
        <v>399200</v>
      </c>
      <c r="G34" s="4">
        <v>1810000</v>
      </c>
      <c r="H34" s="4">
        <v>700500</v>
      </c>
      <c r="I34" s="4">
        <v>1351200</v>
      </c>
      <c r="J34" s="4">
        <v>2206700</v>
      </c>
      <c r="K34" s="4">
        <v>12846700</v>
      </c>
    </row>
  </sheetData>
  <conditionalFormatting pivot="1" sqref="D4:D11">
    <cfRule type="top10" dxfId="1" priority="6" rank="3"/>
  </conditionalFormatting>
  <conditionalFormatting pivot="1" sqref="D4:D11">
    <cfRule type="top10" dxfId="0" priority="5" bottom="1" rank="3"/>
  </conditionalFormatting>
  <pageMargins left="0.7" right="0.7" top="0.75" bottom="0.75" header="0.3" footer="0.3"/>
  <pageSetup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46808-E508-4BB0-ADBB-DF084C12374E}">
  <dimension ref="A2:G12"/>
  <sheetViews>
    <sheetView workbookViewId="0">
      <selection activeCell="C2" sqref="C2"/>
    </sheetView>
  </sheetViews>
  <sheetFormatPr defaultRowHeight="12.75" x14ac:dyDescent="0.35"/>
  <cols>
    <col min="1" max="1" width="16.1328125" bestFit="1" customWidth="1"/>
    <col min="2" max="2" width="17.19921875" bestFit="1" customWidth="1"/>
    <col min="3" max="3" width="30.265625" bestFit="1" customWidth="1"/>
    <col min="6" max="6" width="18.19921875" bestFit="1" customWidth="1"/>
    <col min="7" max="7" width="19.86328125" bestFit="1" customWidth="1"/>
    <col min="8" max="8" width="30.265625" bestFit="1" customWidth="1"/>
  </cols>
  <sheetData>
    <row r="2" spans="1:7" ht="13.15" x14ac:dyDescent="0.4">
      <c r="A2" s="22" t="s">
        <v>145</v>
      </c>
      <c r="B2" s="22"/>
    </row>
    <row r="3" spans="1:7" x14ac:dyDescent="0.35">
      <c r="A3" s="11" t="s">
        <v>1</v>
      </c>
      <c r="B3" t="s">
        <v>147</v>
      </c>
      <c r="C3" t="s">
        <v>146</v>
      </c>
      <c r="F3" s="11" t="s">
        <v>2</v>
      </c>
      <c r="G3" t="s">
        <v>132</v>
      </c>
    </row>
    <row r="4" spans="1:7" x14ac:dyDescent="0.35">
      <c r="A4" s="12" t="s">
        <v>26</v>
      </c>
      <c r="B4" s="10">
        <v>390</v>
      </c>
      <c r="C4" s="10">
        <v>4641.333333333333</v>
      </c>
      <c r="F4" s="12" t="s">
        <v>12</v>
      </c>
      <c r="G4" s="16">
        <v>10453000</v>
      </c>
    </row>
    <row r="5" spans="1:7" x14ac:dyDescent="0.35">
      <c r="A5" s="12" t="s">
        <v>45</v>
      </c>
      <c r="B5" s="10">
        <v>148</v>
      </c>
      <c r="C5" s="10">
        <v>3770</v>
      </c>
      <c r="F5" s="12" t="s">
        <v>14</v>
      </c>
      <c r="G5" s="16">
        <v>771700</v>
      </c>
    </row>
    <row r="6" spans="1:7" x14ac:dyDescent="0.35">
      <c r="A6" s="12" t="s">
        <v>50</v>
      </c>
      <c r="B6" s="10">
        <v>108</v>
      </c>
      <c r="C6" s="10">
        <v>3719.75</v>
      </c>
      <c r="F6" s="12" t="s">
        <v>31</v>
      </c>
      <c r="G6" s="16">
        <v>630000</v>
      </c>
    </row>
    <row r="7" spans="1:7" x14ac:dyDescent="0.35">
      <c r="A7" s="12" t="s">
        <v>22</v>
      </c>
      <c r="B7" s="10">
        <v>710</v>
      </c>
      <c r="C7" s="10">
        <v>3111.0666666666666</v>
      </c>
      <c r="F7" s="12" t="s">
        <v>16</v>
      </c>
      <c r="G7" s="16">
        <v>339500</v>
      </c>
    </row>
    <row r="8" spans="1:7" x14ac:dyDescent="0.35">
      <c r="A8" s="12" t="s">
        <v>35</v>
      </c>
      <c r="B8" s="10">
        <v>436</v>
      </c>
      <c r="C8" s="10">
        <v>3100.3333333333335</v>
      </c>
      <c r="F8" s="12" t="s">
        <v>18</v>
      </c>
      <c r="G8" s="16">
        <v>281700</v>
      </c>
    </row>
    <row r="9" spans="1:7" x14ac:dyDescent="0.35">
      <c r="A9" s="12" t="s">
        <v>11</v>
      </c>
      <c r="B9" s="10">
        <v>1925</v>
      </c>
      <c r="C9" s="10">
        <v>2665.7333333333331</v>
      </c>
      <c r="F9" s="12" t="s">
        <v>20</v>
      </c>
      <c r="G9" s="16">
        <v>156300</v>
      </c>
    </row>
    <row r="10" spans="1:7" x14ac:dyDescent="0.35">
      <c r="A10" s="12" t="s">
        <v>20</v>
      </c>
      <c r="B10" s="10">
        <v>305</v>
      </c>
      <c r="C10" s="10">
        <v>2296.4</v>
      </c>
      <c r="F10" s="12" t="s">
        <v>59</v>
      </c>
      <c r="G10" s="16">
        <v>119500</v>
      </c>
    </row>
    <row r="11" spans="1:7" x14ac:dyDescent="0.35">
      <c r="A11" s="12" t="s">
        <v>40</v>
      </c>
      <c r="B11" s="10">
        <v>372</v>
      </c>
      <c r="C11" s="10">
        <v>1856.5</v>
      </c>
      <c r="F11" s="12" t="s">
        <v>26</v>
      </c>
      <c r="G11" s="16">
        <v>95000</v>
      </c>
    </row>
    <row r="12" spans="1:7" x14ac:dyDescent="0.35">
      <c r="A12" s="12" t="s">
        <v>130</v>
      </c>
      <c r="B12" s="10">
        <v>4394</v>
      </c>
      <c r="C12" s="10">
        <v>3148.8611111111113</v>
      </c>
      <c r="F12" s="12" t="s">
        <v>130</v>
      </c>
      <c r="G12" s="16">
        <v>12846700</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4A863-73CC-4414-A1DA-9D0A7E5B54E5}">
  <dimension ref="A2"/>
  <sheetViews>
    <sheetView workbookViewId="0">
      <selection activeCell="A2" sqref="A2"/>
    </sheetView>
  </sheetViews>
  <sheetFormatPr defaultRowHeight="12.75" x14ac:dyDescent="0.35"/>
  <sheetData>
    <row r="2" spans="1:1" x14ac:dyDescent="0.35">
      <c r="A2" s="13" t="s">
        <v>151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E5C2B-6FC2-401F-BE80-E18FFF241132}">
  <dimension ref="F12"/>
  <sheetViews>
    <sheetView showGridLines="0" topLeftCell="B1" zoomScale="60" zoomScaleNormal="60" workbookViewId="0">
      <selection activeCell="E6" sqref="E6"/>
    </sheetView>
  </sheetViews>
  <sheetFormatPr defaultRowHeight="12.75" x14ac:dyDescent="0.35"/>
  <sheetData>
    <row r="12" spans="6:6" x14ac:dyDescent="0.35">
      <c r="F12"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285AD-3123-49D1-949D-1905E44BD344}">
  <dimension ref="A1"/>
  <sheetViews>
    <sheetView workbookViewId="0"/>
  </sheetViews>
  <sheetFormatPr defaultRowHeight="12.7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CLEANED</vt:lpstr>
      <vt:lpstr>ANALYSIS1</vt:lpstr>
      <vt:lpstr>ANALYSIS2</vt:lpstr>
      <vt:lpstr>ANALYSIS3</vt:lpstr>
      <vt:lpstr>DASHBOARD</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2026-01-30T12:44:55Z</dcterms:modified>
</cp:coreProperties>
</file>